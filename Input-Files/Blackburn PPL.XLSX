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ian\SharePoint\Government Contract Services, - Aut\GSA Advantage! Scripts\Input-Files\"/>
    </mc:Choice>
  </mc:AlternateContent>
  <bookViews>
    <workbookView xWindow="0" yWindow="0" windowWidth="28800" windowHeight="124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Sheet1!$A$4:$Q$102</definedName>
    <definedName name="_xlnm.Print_Area" localSheetId="0">Sheet1!$E$3:$Q$102</definedName>
  </definedNames>
  <calcPr calcId="171027"/>
</workbook>
</file>

<file path=xl/calcChain.xml><?xml version="1.0" encoding="utf-8"?>
<calcChain xmlns="http://schemas.openxmlformats.org/spreadsheetml/2006/main">
  <c r="D200" i="1" l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199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03" i="1"/>
  <c r="N216" i="1"/>
  <c r="O216" i="1"/>
  <c r="L216" i="1"/>
  <c r="N215" i="1"/>
  <c r="O215" i="1"/>
  <c r="L215" i="1"/>
  <c r="N214" i="1"/>
  <c r="O214" i="1"/>
  <c r="L214" i="1"/>
  <c r="N213" i="1"/>
  <c r="O213" i="1"/>
  <c r="L213" i="1"/>
  <c r="N212" i="1"/>
  <c r="O212" i="1"/>
  <c r="L212" i="1"/>
  <c r="N211" i="1"/>
  <c r="O211" i="1"/>
  <c r="L211" i="1"/>
  <c r="N210" i="1"/>
  <c r="O210" i="1"/>
  <c r="L210" i="1"/>
  <c r="N209" i="1"/>
  <c r="O209" i="1"/>
  <c r="L209" i="1"/>
  <c r="N208" i="1"/>
  <c r="O208" i="1"/>
  <c r="L208" i="1"/>
  <c r="N207" i="1"/>
  <c r="O207" i="1"/>
  <c r="L207" i="1"/>
  <c r="N206" i="1"/>
  <c r="O206" i="1"/>
  <c r="L206" i="1"/>
  <c r="N205" i="1"/>
  <c r="O205" i="1"/>
  <c r="L205" i="1"/>
  <c r="N204" i="1"/>
  <c r="O204" i="1"/>
  <c r="L204" i="1"/>
  <c r="N203" i="1"/>
  <c r="O203" i="1"/>
  <c r="L203" i="1"/>
  <c r="N202" i="1"/>
  <c r="O202" i="1"/>
  <c r="L202" i="1"/>
  <c r="N201" i="1"/>
  <c r="O201" i="1"/>
  <c r="L201" i="1"/>
  <c r="N200" i="1"/>
  <c r="O200" i="1"/>
  <c r="L200" i="1"/>
  <c r="N199" i="1"/>
  <c r="O199" i="1"/>
  <c r="L199" i="1"/>
  <c r="N198" i="1"/>
  <c r="O198" i="1"/>
  <c r="L198" i="1"/>
  <c r="N197" i="1"/>
  <c r="O197" i="1"/>
  <c r="L197" i="1"/>
  <c r="N196" i="1"/>
  <c r="O196" i="1"/>
  <c r="L196" i="1"/>
  <c r="N195" i="1"/>
  <c r="O195" i="1"/>
  <c r="L195" i="1"/>
  <c r="N194" i="1"/>
  <c r="O194" i="1"/>
  <c r="L194" i="1"/>
  <c r="N193" i="1"/>
  <c r="O193" i="1"/>
  <c r="L193" i="1"/>
  <c r="N192" i="1"/>
  <c r="O192" i="1"/>
  <c r="L192" i="1"/>
  <c r="N191" i="1"/>
  <c r="O191" i="1"/>
  <c r="L191" i="1"/>
  <c r="N190" i="1"/>
  <c r="O190" i="1"/>
  <c r="L190" i="1"/>
  <c r="N189" i="1"/>
  <c r="O189" i="1"/>
  <c r="L189" i="1"/>
  <c r="N188" i="1"/>
  <c r="O188" i="1"/>
  <c r="L188" i="1"/>
  <c r="N187" i="1"/>
  <c r="O187" i="1"/>
  <c r="L187" i="1"/>
  <c r="N186" i="1"/>
  <c r="O186" i="1"/>
  <c r="L186" i="1"/>
  <c r="N185" i="1"/>
  <c r="O185" i="1"/>
  <c r="L185" i="1"/>
  <c r="N184" i="1"/>
  <c r="O184" i="1"/>
  <c r="L184" i="1"/>
  <c r="N183" i="1"/>
  <c r="O183" i="1"/>
  <c r="L183" i="1"/>
  <c r="N182" i="1"/>
  <c r="O182" i="1"/>
  <c r="L182" i="1"/>
  <c r="N181" i="1"/>
  <c r="O181" i="1"/>
  <c r="L181" i="1"/>
  <c r="N180" i="1"/>
  <c r="O180" i="1"/>
  <c r="L180" i="1"/>
  <c r="N179" i="1"/>
  <c r="O179" i="1"/>
  <c r="L179" i="1"/>
  <c r="N178" i="1"/>
  <c r="O178" i="1"/>
  <c r="L178" i="1"/>
  <c r="N177" i="1"/>
  <c r="O177" i="1"/>
  <c r="L177" i="1"/>
  <c r="N176" i="1"/>
  <c r="O176" i="1"/>
  <c r="L176" i="1"/>
  <c r="N175" i="1"/>
  <c r="O175" i="1"/>
  <c r="L175" i="1"/>
  <c r="N174" i="1"/>
  <c r="O174" i="1"/>
  <c r="L174" i="1"/>
  <c r="N173" i="1"/>
  <c r="O173" i="1"/>
  <c r="L173" i="1"/>
  <c r="N172" i="1"/>
  <c r="O172" i="1"/>
  <c r="L172" i="1"/>
  <c r="N171" i="1"/>
  <c r="O171" i="1"/>
  <c r="L171" i="1"/>
  <c r="N170" i="1"/>
  <c r="O170" i="1"/>
  <c r="L170" i="1"/>
  <c r="N169" i="1"/>
  <c r="O169" i="1"/>
  <c r="L169" i="1"/>
  <c r="N168" i="1"/>
  <c r="O168" i="1"/>
  <c r="L168" i="1"/>
  <c r="N167" i="1"/>
  <c r="O167" i="1"/>
  <c r="L167" i="1"/>
  <c r="N166" i="1"/>
  <c r="O166" i="1"/>
  <c r="L166" i="1"/>
  <c r="N165" i="1"/>
  <c r="O165" i="1"/>
  <c r="L165" i="1"/>
  <c r="N164" i="1"/>
  <c r="O164" i="1"/>
  <c r="L164" i="1"/>
  <c r="N163" i="1"/>
  <c r="O163" i="1"/>
  <c r="L163" i="1"/>
  <c r="N162" i="1"/>
  <c r="O162" i="1"/>
  <c r="L162" i="1"/>
  <c r="N161" i="1"/>
  <c r="O161" i="1"/>
  <c r="L161" i="1"/>
  <c r="N160" i="1"/>
  <c r="O160" i="1"/>
  <c r="L160" i="1"/>
  <c r="N159" i="1"/>
  <c r="O159" i="1"/>
  <c r="L159" i="1"/>
  <c r="N158" i="1"/>
  <c r="O158" i="1"/>
  <c r="L158" i="1"/>
  <c r="N157" i="1"/>
  <c r="O157" i="1"/>
  <c r="L157" i="1"/>
  <c r="N156" i="1"/>
  <c r="O156" i="1"/>
  <c r="L156" i="1"/>
  <c r="N155" i="1"/>
  <c r="O155" i="1"/>
  <c r="L155" i="1"/>
  <c r="N154" i="1"/>
  <c r="O154" i="1"/>
  <c r="L154" i="1"/>
  <c r="N153" i="1"/>
  <c r="O153" i="1"/>
  <c r="L153" i="1"/>
  <c r="N152" i="1"/>
  <c r="O152" i="1"/>
  <c r="L152" i="1"/>
  <c r="N151" i="1"/>
  <c r="O151" i="1"/>
  <c r="L151" i="1"/>
  <c r="N150" i="1"/>
  <c r="O150" i="1"/>
  <c r="L150" i="1"/>
  <c r="N149" i="1"/>
  <c r="O149" i="1"/>
  <c r="L149" i="1"/>
  <c r="N148" i="1"/>
  <c r="O148" i="1"/>
  <c r="L148" i="1"/>
  <c r="N147" i="1"/>
  <c r="O147" i="1"/>
  <c r="L147" i="1"/>
  <c r="N146" i="1"/>
  <c r="O146" i="1"/>
  <c r="L146" i="1"/>
  <c r="N145" i="1"/>
  <c r="O145" i="1"/>
  <c r="L145" i="1"/>
  <c r="N144" i="1"/>
  <c r="O144" i="1"/>
  <c r="L144" i="1"/>
  <c r="N143" i="1"/>
  <c r="O143" i="1"/>
  <c r="L143" i="1"/>
  <c r="N142" i="1"/>
  <c r="O142" i="1"/>
  <c r="L142" i="1"/>
  <c r="N141" i="1"/>
  <c r="O141" i="1"/>
  <c r="L141" i="1"/>
  <c r="N140" i="1"/>
  <c r="O140" i="1"/>
  <c r="L140" i="1"/>
  <c r="N139" i="1"/>
  <c r="O139" i="1"/>
  <c r="L139" i="1"/>
  <c r="N138" i="1"/>
  <c r="O138" i="1"/>
  <c r="L138" i="1"/>
  <c r="N137" i="1"/>
  <c r="O137" i="1"/>
  <c r="L137" i="1"/>
  <c r="N136" i="1"/>
  <c r="O136" i="1"/>
  <c r="L136" i="1"/>
  <c r="N135" i="1"/>
  <c r="O135" i="1"/>
  <c r="L135" i="1"/>
  <c r="N134" i="1"/>
  <c r="O134" i="1"/>
  <c r="L134" i="1"/>
  <c r="N133" i="1"/>
  <c r="O133" i="1"/>
  <c r="L133" i="1"/>
  <c r="N132" i="1"/>
  <c r="O132" i="1"/>
  <c r="L132" i="1"/>
  <c r="N131" i="1"/>
  <c r="O131" i="1"/>
  <c r="L131" i="1"/>
  <c r="N130" i="1"/>
  <c r="O130" i="1"/>
  <c r="L130" i="1"/>
  <c r="N129" i="1"/>
  <c r="O129" i="1"/>
  <c r="L129" i="1"/>
  <c r="N128" i="1"/>
  <c r="O128" i="1"/>
  <c r="L128" i="1"/>
  <c r="N127" i="1"/>
  <c r="O127" i="1"/>
  <c r="L127" i="1"/>
  <c r="N126" i="1"/>
  <c r="O126" i="1"/>
  <c r="L126" i="1"/>
  <c r="N125" i="1"/>
  <c r="O125" i="1"/>
  <c r="L125" i="1"/>
  <c r="N124" i="1"/>
  <c r="O124" i="1"/>
  <c r="L124" i="1"/>
  <c r="N123" i="1"/>
  <c r="O123" i="1"/>
  <c r="L123" i="1"/>
  <c r="N122" i="1"/>
  <c r="O122" i="1"/>
  <c r="L122" i="1"/>
  <c r="N121" i="1"/>
  <c r="O121" i="1"/>
  <c r="L121" i="1"/>
  <c r="N120" i="1"/>
  <c r="O120" i="1"/>
  <c r="L120" i="1"/>
  <c r="N119" i="1"/>
  <c r="O119" i="1"/>
  <c r="L119" i="1"/>
  <c r="N118" i="1"/>
  <c r="O118" i="1"/>
  <c r="L118" i="1"/>
  <c r="N117" i="1"/>
  <c r="O117" i="1"/>
  <c r="L117" i="1"/>
  <c r="N116" i="1"/>
  <c r="O116" i="1"/>
  <c r="L116" i="1"/>
  <c r="N115" i="1"/>
  <c r="O115" i="1"/>
  <c r="L115" i="1"/>
  <c r="N114" i="1"/>
  <c r="O114" i="1"/>
  <c r="L114" i="1"/>
  <c r="N113" i="1"/>
  <c r="O113" i="1"/>
  <c r="L113" i="1"/>
  <c r="N112" i="1"/>
  <c r="O112" i="1"/>
  <c r="L112" i="1"/>
  <c r="N111" i="1"/>
  <c r="O111" i="1"/>
  <c r="L111" i="1"/>
  <c r="N110" i="1"/>
  <c r="O110" i="1"/>
  <c r="L110" i="1"/>
  <c r="N109" i="1"/>
  <c r="O109" i="1"/>
  <c r="L109" i="1"/>
  <c r="N108" i="1"/>
  <c r="O108" i="1"/>
  <c r="L108" i="1"/>
  <c r="N107" i="1"/>
  <c r="O107" i="1"/>
  <c r="L107" i="1"/>
  <c r="N106" i="1"/>
  <c r="O106" i="1"/>
  <c r="L106" i="1"/>
  <c r="N105" i="1"/>
  <c r="O105" i="1"/>
  <c r="L105" i="1"/>
  <c r="N104" i="1"/>
  <c r="O104" i="1"/>
  <c r="L104" i="1"/>
  <c r="N103" i="1"/>
  <c r="O103" i="1"/>
  <c r="L103" i="1"/>
  <c r="L87" i="1"/>
  <c r="L76" i="1"/>
  <c r="L65" i="1"/>
  <c r="L54" i="1"/>
  <c r="L38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5" i="1"/>
  <c r="L56" i="1"/>
  <c r="L57" i="1"/>
  <c r="L58" i="1"/>
  <c r="L59" i="1"/>
  <c r="L60" i="1"/>
  <c r="L61" i="1"/>
  <c r="L62" i="1"/>
  <c r="L63" i="1"/>
  <c r="L64" i="1"/>
  <c r="L66" i="1"/>
  <c r="L67" i="1"/>
  <c r="L68" i="1"/>
  <c r="L69" i="1"/>
  <c r="L70" i="1"/>
  <c r="L71" i="1"/>
  <c r="L72" i="1"/>
  <c r="L73" i="1"/>
  <c r="L74" i="1"/>
  <c r="L75" i="1"/>
  <c r="L77" i="1"/>
  <c r="L78" i="1"/>
  <c r="L79" i="1"/>
  <c r="L80" i="1"/>
  <c r="L81" i="1"/>
  <c r="L82" i="1"/>
  <c r="L83" i="1"/>
  <c r="L84" i="1"/>
  <c r="L85" i="1"/>
  <c r="L86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5" i="1"/>
</calcChain>
</file>

<file path=xl/sharedStrings.xml><?xml version="1.0" encoding="utf-8"?>
<sst xmlns="http://schemas.openxmlformats.org/spreadsheetml/2006/main" count="1936" uniqueCount="395">
  <si>
    <t>PRODUCT NAME</t>
  </si>
  <si>
    <t>SIN:  Special Item Number</t>
  </si>
  <si>
    <t>PRODUCT DESCRIPTION</t>
  </si>
  <si>
    <t>Re:  Recycled and/or Postconsumer Material Content Column – Refer to the Basic Proposal Checklist under EPA Comprehensive Procurement Guidelines (CPG) for instructions.</t>
  </si>
  <si>
    <t>DEALER PART NUMBER (if applicable)</t>
  </si>
  <si>
    <t>GSA OFFER PRICE (exclusive of the .75% IFF)</t>
  </si>
  <si>
    <t>MFC PRICE</t>
  </si>
  <si>
    <t xml:space="preserve">COO:  Country of Origin </t>
  </si>
  <si>
    <t>MOST FAVORED CUSTOMER (MFC)</t>
  </si>
  <si>
    <t>SIN</t>
  </si>
  <si>
    <t>UOI:  Unit of Issue</t>
  </si>
  <si>
    <t>DISCOUNT OFFERED TO MFC (%)</t>
  </si>
  <si>
    <t>COO</t>
  </si>
  <si>
    <t>MFC:  Most Favored Customer</t>
  </si>
  <si>
    <t>COMMERCIAL LIST PRICE</t>
  </si>
  <si>
    <t>QUANTITY/VOLUME DISCOUNT</t>
  </si>
  <si>
    <t>GSA OFFER PRICE (inclusive of the .75% IFF)</t>
  </si>
  <si>
    <t>UOI</t>
  </si>
  <si>
    <t>Acronyms</t>
  </si>
  <si>
    <t>GSA (%) DISCOUNT (exclusive of the .75% IFF)</t>
  </si>
  <si>
    <t>MANUFACTURER NAME</t>
  </si>
  <si>
    <t>IFF Calculation Example: List Price = $100.00</t>
  </si>
  <si>
    <t>GSA % Discount: 10%</t>
  </si>
  <si>
    <t>GSA Price excluding IFF: $90.00</t>
  </si>
  <si>
    <t>IFF:  Industrial Funding Fee (Clause 552.238-74): Fee is 0.75% (less than 1%)</t>
  </si>
  <si>
    <t>List Price: $100.00</t>
  </si>
  <si>
    <t>GSA Price including IFF: $90.00/0.9925 = $90.68</t>
  </si>
  <si>
    <t>PRICE PROPOSAL TEMPLATE</t>
  </si>
  <si>
    <t xml:space="preserve">MFR PART NO </t>
  </si>
  <si>
    <t xml:space="preserve">UPC-A  </t>
  </si>
  <si>
    <t>Blackburn Mfg. Co. dba Blackburn Flag Pricing Proposal</t>
  </si>
  <si>
    <t>366 23</t>
  </si>
  <si>
    <t>BLACKBURN MFG. CO.</t>
  </si>
  <si>
    <t>COUNTRY ENTERPRISES</t>
  </si>
  <si>
    <t>366 12</t>
  </si>
  <si>
    <t>SMI-CARR, INC.</t>
  </si>
  <si>
    <t>231W-200</t>
  </si>
  <si>
    <t>451W-200</t>
  </si>
  <si>
    <t>451W-500</t>
  </si>
  <si>
    <t>458P-500</t>
  </si>
  <si>
    <t>232W</t>
  </si>
  <si>
    <t>235W</t>
  </si>
  <si>
    <t>231W</t>
  </si>
  <si>
    <t>230W</t>
  </si>
  <si>
    <t>236W</t>
  </si>
  <si>
    <t>455W</t>
  </si>
  <si>
    <t>458W</t>
  </si>
  <si>
    <t>451W</t>
  </si>
  <si>
    <t>454W</t>
  </si>
  <si>
    <t>450W</t>
  </si>
  <si>
    <t>456W</t>
  </si>
  <si>
    <t>580W</t>
  </si>
  <si>
    <t>586W</t>
  </si>
  <si>
    <t>232P</t>
  </si>
  <si>
    <t>458P</t>
  </si>
  <si>
    <t>454P</t>
  </si>
  <si>
    <t>567P</t>
  </si>
  <si>
    <t>OP451W-200</t>
  </si>
  <si>
    <t>OP451W-500</t>
  </si>
  <si>
    <t>OP458P-500</t>
  </si>
  <si>
    <t>OP455W</t>
  </si>
  <si>
    <t>OP458W</t>
  </si>
  <si>
    <t>OP451W</t>
  </si>
  <si>
    <t>OP454W</t>
  </si>
  <si>
    <t>OP450W</t>
  </si>
  <si>
    <t>OP456W</t>
  </si>
  <si>
    <t>OP580W</t>
  </si>
  <si>
    <t>OP586W</t>
  </si>
  <si>
    <t>OP458P</t>
  </si>
  <si>
    <t>OP454P</t>
  </si>
  <si>
    <t>OP567P</t>
  </si>
  <si>
    <t>845F</t>
  </si>
  <si>
    <t>Y451W</t>
  </si>
  <si>
    <t>Y450W</t>
  </si>
  <si>
    <t>P232W</t>
  </si>
  <si>
    <t>P455W</t>
  </si>
  <si>
    <t>P458W</t>
  </si>
  <si>
    <t>P451W</t>
  </si>
  <si>
    <t>P454W</t>
  </si>
  <si>
    <t>P450W</t>
  </si>
  <si>
    <t>P456W</t>
  </si>
  <si>
    <t>P580W</t>
  </si>
  <si>
    <t>P586W</t>
  </si>
  <si>
    <t>P232P</t>
  </si>
  <si>
    <t>P458P</t>
  </si>
  <si>
    <t>P454P</t>
  </si>
  <si>
    <t>P567P</t>
  </si>
  <si>
    <t>PP455W</t>
  </si>
  <si>
    <t>PP458W</t>
  </si>
  <si>
    <t>PP451W</t>
  </si>
  <si>
    <t>PP454W</t>
  </si>
  <si>
    <t>PP450W</t>
  </si>
  <si>
    <t>PP456W</t>
  </si>
  <si>
    <t>PP580W</t>
  </si>
  <si>
    <t>PP586W</t>
  </si>
  <si>
    <t>PP458P</t>
  </si>
  <si>
    <t>PP454P</t>
  </si>
  <si>
    <t>PP567P</t>
  </si>
  <si>
    <t>P845F</t>
  </si>
  <si>
    <t>P458WB</t>
  </si>
  <si>
    <t>P451WB</t>
  </si>
  <si>
    <t>P454WB</t>
  </si>
  <si>
    <t>P450WB</t>
  </si>
  <si>
    <t>P456WB</t>
  </si>
  <si>
    <t>P580WB</t>
  </si>
  <si>
    <t>P586WB</t>
  </si>
  <si>
    <t>P458PB</t>
  </si>
  <si>
    <t>P454PB</t>
  </si>
  <si>
    <t>P567PB</t>
  </si>
  <si>
    <t>PP455WB</t>
  </si>
  <si>
    <t>PP458WB</t>
  </si>
  <si>
    <t>PP451WB</t>
  </si>
  <si>
    <t>PP454WB</t>
  </si>
  <si>
    <t>PP450WB</t>
  </si>
  <si>
    <t>PP456WB</t>
  </si>
  <si>
    <t>PP580WB</t>
  </si>
  <si>
    <t>PP586WB</t>
  </si>
  <si>
    <t>PP458PB</t>
  </si>
  <si>
    <t>PP454PB</t>
  </si>
  <si>
    <t>PP567PB</t>
  </si>
  <si>
    <t>PY451W1B</t>
  </si>
  <si>
    <t>PY450W1B</t>
  </si>
  <si>
    <t>PY451W2B</t>
  </si>
  <si>
    <t>PY450W2B</t>
  </si>
  <si>
    <t xml:space="preserve"> FIELD FLAG</t>
  </si>
  <si>
    <t>SP6BD6</t>
  </si>
  <si>
    <t>SP6GD6</t>
  </si>
  <si>
    <t>SP6OD6</t>
  </si>
  <si>
    <t>SP6PD6</t>
  </si>
  <si>
    <t>SP6PRD6</t>
  </si>
  <si>
    <t>SP6RD6</t>
  </si>
  <si>
    <t>STKDRVRT</t>
  </si>
  <si>
    <t>N/A</t>
  </si>
  <si>
    <t>PLAIN VINYL FLAG</t>
  </si>
  <si>
    <t>2.5" X 3.5" PLAIN VINYL FLAG ON 21" WIRE STAFF  200 CT. BOX</t>
  </si>
  <si>
    <t>4" X 5" PLAIN VINYL FLAG ON 21" WIRE STAFF 200 CT. BOX</t>
  </si>
  <si>
    <t>4" X 5" PLAIN VINYL FLAG ON 21" WIRE STAFF  500 CT. BOX</t>
  </si>
  <si>
    <t>4" X 5" PLAIN VINYL FLAG ON 18" PVC STAFF  500 CT. BOX</t>
  </si>
  <si>
    <t>2.5" X 3.5" PLAIN VINYL FLAG ON 11.5" WIRE STAFF</t>
  </si>
  <si>
    <t>2.5" X 3.5" PLAIN VINYL FLAG ON 15" WIRE STAFF</t>
  </si>
  <si>
    <t>2.5" X 3.5" PLAIN VINYL FLAG ON 21" WIRE STAFF</t>
  </si>
  <si>
    <t>2.5" X 3.5" PLAIN VINYL FLAG ON 30" WIRE STAFF</t>
  </si>
  <si>
    <t>2.5" X 3.5" PLAIN VINYL FLAG ON 36" WIRE STAFF</t>
  </si>
  <si>
    <t>4" X 5" PLAIN VINYL FLAG ON 15" WIRE STAFF</t>
  </si>
  <si>
    <t>4" X 5" PLAIN VINYL FLAG ON 18" WIRE STAFF</t>
  </si>
  <si>
    <t>4" X 5" PLAIN VINYL FLAG ON 21" WIRE STAFF</t>
  </si>
  <si>
    <t>4" X 5" PLAIN VINYL FLAG ON 24" WIRE STAFF</t>
  </si>
  <si>
    <t>4" X 5" PLAIN VINYL FLAG ON 30" WIRE STAFF</t>
  </si>
  <si>
    <t>4" X 5" PLAIN VINYL FLAG ON 36" WIRE STAFF</t>
  </si>
  <si>
    <t>5" X 8" PLAIN VINYL FLAG ON 30" WIRE STAFF</t>
  </si>
  <si>
    <t>5" X 8" PLAIN VINYL FLAG ON 36" WIRE STAFF</t>
  </si>
  <si>
    <t>2.5" X 3.5" PLAIN VINYL FLAG ON 11.5" PVC STAFF</t>
  </si>
  <si>
    <t>4" X 5" PLAIN VINYL FLAG ON 18" PVC STAFF</t>
  </si>
  <si>
    <t>4" X 5" PLAIN VINYL FLAG ON 24" PVC STAFF</t>
  </si>
  <si>
    <t>5" X 6" PLAIN VINYL FLAG ON 27" PVC STAFF</t>
  </si>
  <si>
    <t>PLAIN PATTERNED VINYL FLAG</t>
  </si>
  <si>
    <t>4" X 5" PLAIN PATTERNED VINYL FLAG ON 21" WIRE STAFF  200 CT. BOX</t>
  </si>
  <si>
    <t>4" X 5" PLAIN PATTERNED VINYL FLAG ON 21" WIRE STAFF  500 CT. BOX</t>
  </si>
  <si>
    <t>4" X 5" PLAIN PATTERNED VINYL FLAG ON 18" PVC STAFF  500 CT. BOX</t>
  </si>
  <si>
    <t>4" X 5" PLAIN PATTERNED VINYL FLAG ON 21" WIRE STAFF</t>
  </si>
  <si>
    <t>5" X 8" PLAIN PATTERNED VINYL FLAG ON 30" WIRE STAFF</t>
  </si>
  <si>
    <t>4" X 5" PLAIN PATTERNED VINYL FLAG ON 18" PVC STAFF</t>
  </si>
  <si>
    <t>4" X 5" PLAIN PATTERNED VINYL FLAG ON 24" PVC STAFF</t>
  </si>
  <si>
    <t>5" X 6" PLAIN PATTERNED VINYL FLAG ON 27" PVC STAFF</t>
  </si>
  <si>
    <t xml:space="preserve"> PLAIN VINYL FLAG FIBERGLASS STAFF</t>
  </si>
  <si>
    <t>4" X 5" VINYL FLAG ON 18" FIBERGLASS STAFF</t>
  </si>
  <si>
    <t>HIGH GLOSS POLY PLAIN FLAG</t>
  </si>
  <si>
    <t>4" X 5" PLAIN POLY FLAG ON 18" WIRE STAFF</t>
  </si>
  <si>
    <t>4" X 5" PLAIN POLY FLAG ON 30" WIRE STAFF</t>
  </si>
  <si>
    <t>PRINTED VINYL FLAG</t>
  </si>
  <si>
    <t>2.5" X 3.5" PRINTED VINYL FLAG ON 11.5" WIRE STAFF</t>
  </si>
  <si>
    <t>4" X 5" PRINTED VINYL FLAG ON 15" WIRE STAFF</t>
  </si>
  <si>
    <t>4" X 5" PRINTED VINYL FLAG ON 18" WIRE STAFF</t>
  </si>
  <si>
    <t>4" X 5" PRINTED VINYL FLAG ON 21" WIRE STAFF</t>
  </si>
  <si>
    <t>4" X 5" PRINTED VINYL FLAG ON 24" WIRE STAFF</t>
  </si>
  <si>
    <t>4" X 5" PRINTED VINYL FLAG ON 30" WIRE STAFF</t>
  </si>
  <si>
    <t>4" X 5" PRINTED VINYL FLAG ON 36" WIRE STAFF</t>
  </si>
  <si>
    <t>5" X 8" PRINTED VINYL FLAG ON 30" WIRE STAFF</t>
  </si>
  <si>
    <t>5" X 8" PRINTED VINYL FLAG ON 36" WIRE STAFF</t>
  </si>
  <si>
    <t>2.5" X 3.5" PRINTED VINYL FLAG ON 11.5" PVC STAFF</t>
  </si>
  <si>
    <t>4" X 5" PRINTED VINYL FLAG ON 18" PVC STAFF</t>
  </si>
  <si>
    <t>4" X 5" PRINTED VINYL FLAG ON 24" PVC STAFF</t>
  </si>
  <si>
    <t>5" X 6" PRINTED VINYL FLAG ON 27" PVC STAFF</t>
  </si>
  <si>
    <t>PRINTED PATTERNED VINYL FLAG</t>
  </si>
  <si>
    <t>4" X 5" PRINTED PATTERNED VINYL FLAG ON 15" WIRE STAFF</t>
  </si>
  <si>
    <t>4" X 5" PRINTED PATTERNED VINYL FLAG ON 18" WIRE STAFF</t>
  </si>
  <si>
    <t>4" X 5" PRINTED PATTERNED VINYL FLAG ON 21" WIRE STAFF</t>
  </si>
  <si>
    <t>4" X 5" PRINTED PATTERNED VINYL FLAG ON 24" WIRE STAFF</t>
  </si>
  <si>
    <t>4" X 5" PRINTED PATTERNED VINYL FLAG ON 30" WIRE STAFF</t>
  </si>
  <si>
    <t>4" X 5" PRINTED PATTERNED VINYL FLAG ON 36" WIRE STAFF</t>
  </si>
  <si>
    <t>5" X 8" PRINTED PATTERNED VINYL FLAG ON 30" WIRE STAFF</t>
  </si>
  <si>
    <t>5" X 8" PRINTED PATTERNED VINYL FLAG ON 36" WIRE STAFF</t>
  </si>
  <si>
    <t>4" X 5" PRINTED PATTERNED VINYL FLAG ON 18" PVC STAFF</t>
  </si>
  <si>
    <t>4" X 5" PRINTED PATTERNED VINYL FLAG ON 24" PVC STAFF</t>
  </si>
  <si>
    <t>5" X 6" PRINTED PATTERNED VINYL FLAG ON 27" PVC STAFF</t>
  </si>
  <si>
    <t xml:space="preserve"> PRINTED VINYL FLAG FIBERGLASS STAFF</t>
  </si>
  <si>
    <t>4" X 5" PRINTED VINYL FLAG ON 18" FIBERGLASS STAFF</t>
  </si>
  <si>
    <t>PRINTED VINYL FLAG BANNER STYLE</t>
  </si>
  <si>
    <t>4" X 5" PRINTED VINYL FLAG ON 18" WIRE STAFF BANNER STYLE</t>
  </si>
  <si>
    <t>4" X 5" PRINTED VINYL FLAG ON 21" WIRE STAFF BANNER STYLE</t>
  </si>
  <si>
    <t>4" X 5" PRINTED VINYL FLAG ON 24" WIRE STAFF BANNER STYLE</t>
  </si>
  <si>
    <t>4" X 5" PRINTED VINYL FLAG ON 30" WIRE STAFF BANNER STYLE</t>
  </si>
  <si>
    <t>4" X 5" PRINTED VINYL FLAG ON 36" WIRE STAFF BANNER STYLE</t>
  </si>
  <si>
    <t>5" X 8" PRINTED VINYL FLAG ON 30" WIRE STAFF BANNER STYLE</t>
  </si>
  <si>
    <t>5" X 8" PRINTED VINYL FLAG ON 36" WIRE STAFF BANNER STYLE</t>
  </si>
  <si>
    <t>4" X 5" PRINTED VINYL FLAG ON 18" PVC STAFF BANNER STYLE</t>
  </si>
  <si>
    <t>4" X 5" PRINTED VINYL FLAG ON 24" PVC STAFF BANNER STYLE</t>
  </si>
  <si>
    <t>5" X 6" PRINTED VINYL FLAG ON 27" PVC STAFF BANNER STYLE</t>
  </si>
  <si>
    <t>PRINTED PATTERNED VINYL FLAG BANNER STYLE</t>
  </si>
  <si>
    <t>HIGH GLOSS POLY PRINTED FLAG BANNER STYLE</t>
  </si>
  <si>
    <t>4" X 5" PRINTED POLY FLAG ON 21" WIRE STAFF - ONE COLOR</t>
  </si>
  <si>
    <t>4" X 5" PRINTED POLY FLAG ON 30" WIRE STAFF - ONE COLOR</t>
  </si>
  <si>
    <t>4" X 5" PRINTED POLY FLAG ON 21" WIRE STAFF - TWO COLOR</t>
  </si>
  <si>
    <t>4" X 5" PRINTED POLY FLAG ON 30" WIRE STAFF - TWO COLOR</t>
  </si>
  <si>
    <t>PLAIN FIELD FLAG PENNANT</t>
  </si>
  <si>
    <t>LARGE FLAGGING</t>
  </si>
  <si>
    <t>LARGE BOXED FLAGGING, 1000 FT., SELF-DISPENSING BOX</t>
  </si>
  <si>
    <t>STAKE CHASER WHISKERS</t>
  </si>
  <si>
    <t>6" WHISKER</t>
  </si>
  <si>
    <t>STAKE ALL WHISKERS</t>
  </si>
  <si>
    <t>BLUE</t>
  </si>
  <si>
    <t>GREEN</t>
  </si>
  <si>
    <t>ORANGE</t>
  </si>
  <si>
    <t>PINK</t>
  </si>
  <si>
    <t>PURPLE</t>
  </si>
  <si>
    <t>RED</t>
  </si>
  <si>
    <t>STAKE DRIVER</t>
  </si>
  <si>
    <t>METAL STAKE DRIVER</t>
  </si>
  <si>
    <t>EACH</t>
  </si>
  <si>
    <t>1 BNDL OF 25</t>
  </si>
  <si>
    <t>1 CS OF 500</t>
  </si>
  <si>
    <t>All Commercial Customers</t>
  </si>
  <si>
    <t>USA</t>
  </si>
  <si>
    <r>
      <t>Most Favored Customer’s Discount or Discount Range (MFC) __</t>
    </r>
    <r>
      <rPr>
        <u/>
        <sz val="12"/>
        <color indexed="8"/>
        <rFont val="Arial"/>
        <family val="2"/>
      </rPr>
      <t>0%</t>
    </r>
    <r>
      <rPr>
        <b/>
        <sz val="12"/>
        <color indexed="8"/>
        <rFont val="Arial"/>
        <family val="2"/>
      </rPr>
      <t>__.</t>
    </r>
  </si>
  <si>
    <r>
      <t>GSA’s Discount or Discount Range W/O IFF __</t>
    </r>
    <r>
      <rPr>
        <u/>
        <sz val="12"/>
        <color indexed="8"/>
        <rFont val="Arial"/>
        <family val="2"/>
      </rPr>
      <t>1% - 26%</t>
    </r>
    <r>
      <rPr>
        <b/>
        <sz val="12"/>
        <color indexed="8"/>
        <rFont val="Arial"/>
        <family val="2"/>
      </rPr>
      <t>.</t>
    </r>
  </si>
  <si>
    <t>Krylon</t>
  </si>
  <si>
    <t>QUIK-MARK WATER BASE</t>
  </si>
  <si>
    <t>FLO SAFETY RED</t>
  </si>
  <si>
    <t>1 CS OF 12 CANS</t>
  </si>
  <si>
    <t xml:space="preserve">all commercial customers </t>
  </si>
  <si>
    <t>none</t>
  </si>
  <si>
    <t>FLO PINK</t>
  </si>
  <si>
    <t>FLO CAUTION BLUE</t>
  </si>
  <si>
    <t>FLO SAFETY GREEN</t>
  </si>
  <si>
    <t>FLO ORANGE</t>
  </si>
  <si>
    <t>FLO PURPLE</t>
  </si>
  <si>
    <t>UTILITY YELLOW APWA</t>
  </si>
  <si>
    <t>BRILLIANT WHITE APWA</t>
  </si>
  <si>
    <t>BLUE APWA</t>
  </si>
  <si>
    <t>GREEN APWA</t>
  </si>
  <si>
    <t>BRILLIANT RED APWA</t>
  </si>
  <si>
    <t>CLEAR</t>
  </si>
  <si>
    <t>FLO RED-ORANGE</t>
  </si>
  <si>
    <t>ORANGE APWA</t>
  </si>
  <si>
    <t>HIVIS YELLOW</t>
  </si>
  <si>
    <t>QUIK-MARK SOLVENT BASE</t>
  </si>
  <si>
    <t>ASHPALT BLACK</t>
  </si>
  <si>
    <t>RED APWA</t>
  </si>
  <si>
    <t xml:space="preserve"> FLO NEON GREEN</t>
  </si>
  <si>
    <t>FLO HOT PINK</t>
  </si>
  <si>
    <t>HIVIS YELLOW APWA</t>
  </si>
  <si>
    <t>UTILITY WHITE APWA</t>
  </si>
  <si>
    <t>CLEAR (16 LBS-20 OZ-15 OZ NET)</t>
  </si>
  <si>
    <t>SILVER</t>
  </si>
  <si>
    <t>BRIGHT ORANGE APWA</t>
  </si>
  <si>
    <t>SAFETY YELLOW APWA</t>
  </si>
  <si>
    <t>MARKING CHALK WATER BASE</t>
  </si>
  <si>
    <t>YELLOW APWA</t>
  </si>
  <si>
    <t>WHITE APWA</t>
  </si>
  <si>
    <t>ATHLETIC STRIPING WATER BASE</t>
  </si>
  <si>
    <t>ATHLETIC WHITE</t>
  </si>
  <si>
    <t>ATHLETIC YELLOW</t>
  </si>
  <si>
    <t>ATHLETIC ORANGE</t>
  </si>
  <si>
    <t>SCARLETT</t>
  </si>
  <si>
    <t>ROYAL BLUE</t>
  </si>
  <si>
    <t>AHTLETIC FLO ORANGE</t>
  </si>
  <si>
    <t>OLD GOLD</t>
  </si>
  <si>
    <t>TURF GREEN</t>
  </si>
  <si>
    <t>PAVEMENT STRIPING SOLVENT BASE</t>
  </si>
  <si>
    <t>HIGHWAY WHITE</t>
  </si>
  <si>
    <t>HIGHWAY YELLOW</t>
  </si>
  <si>
    <t>HANDICAP BLUE</t>
  </si>
  <si>
    <t>FIRELANE RED</t>
  </si>
  <si>
    <t>COVER-UP BLACK</t>
  </si>
  <si>
    <t>METER PAINT (RUST TOUGH AERO)</t>
  </si>
  <si>
    <t>LT. MACHINERY GRAY</t>
  </si>
  <si>
    <t>1 CS OF 6 CANS</t>
  </si>
  <si>
    <t>DK MACHINERY GRAY</t>
  </si>
  <si>
    <t>SAFETY RED</t>
  </si>
  <si>
    <t>ALUMINUM</t>
  </si>
  <si>
    <t>SAFETY BLUE</t>
  </si>
  <si>
    <t>SAFETY GREEN</t>
  </si>
  <si>
    <t>SAFETY YELLOW</t>
  </si>
  <si>
    <t>BRIGHT RED</t>
  </si>
  <si>
    <t>FLAT BLACK</t>
  </si>
  <si>
    <t>GLOSS BLACK</t>
  </si>
  <si>
    <t>GLOSS WHITE</t>
  </si>
  <si>
    <t>GRAY PRIMER</t>
  </si>
  <si>
    <t>LW40</t>
  </si>
  <si>
    <t>LONG WAND</t>
  </si>
  <si>
    <t>LW40-F</t>
  </si>
  <si>
    <t>LONG WAND WITH FLAG HOLDER</t>
  </si>
  <si>
    <t>SW41</t>
  </si>
  <si>
    <t>SHORT WAND</t>
  </si>
  <si>
    <t>LINE-UP STRIPING WAND</t>
  </si>
  <si>
    <t>ATHLETIC STRIPING MACHINE</t>
  </si>
  <si>
    <t>PAVEMENT STRIPING MACHINE</t>
  </si>
  <si>
    <t>CAN HOLSTER</t>
  </si>
  <si>
    <t>WASP &amp; HORNET SPRAY</t>
  </si>
  <si>
    <t>(16 OZ/12 OZ NET)</t>
  </si>
  <si>
    <t>857-2</t>
  </si>
  <si>
    <t>(20 OZ/14 OZ NET)</t>
  </si>
  <si>
    <t>S00856</t>
  </si>
  <si>
    <t>INSECT REPELLANT</t>
  </si>
  <si>
    <t>(8 OZ/6 OZ NET)</t>
  </si>
  <si>
    <t>HIT SQUAD INSECTICIDE (ANT SPRAY)</t>
  </si>
  <si>
    <t>(20 OZ/16 OZ NET)</t>
  </si>
  <si>
    <t>OVERHEAD MARKING PAINT</t>
  </si>
  <si>
    <t>FLO RED</t>
  </si>
  <si>
    <t>FLO GREEN</t>
  </si>
  <si>
    <t>WHITE</t>
  </si>
  <si>
    <t>SCD154P</t>
  </si>
  <si>
    <t>POSTING SIGN</t>
  </si>
  <si>
    <t>5" X 4" CARDSTOCK, 1 SIDE, 1-2 COLOR</t>
  </si>
  <si>
    <t>SCD154PP</t>
  </si>
  <si>
    <t>5" X 4" CARDSTOCK, 1 SIDE, PROCESS PRINT</t>
  </si>
  <si>
    <t>SCD154FC</t>
  </si>
  <si>
    <t>5" X 4" CARDSTOCK, 1 SIDE, FULL COVERAGE</t>
  </si>
  <si>
    <t>SCD155P</t>
  </si>
  <si>
    <t>5" X 5" CARDSTOCK, 1 SIDE, 1-2 COLOR</t>
  </si>
  <si>
    <t>SCD155PP</t>
  </si>
  <si>
    <t>5" X 5" CARDSTOCK, 1 SIDE, PROCESS PRINT</t>
  </si>
  <si>
    <t>SCD155FC</t>
  </si>
  <si>
    <t>5" X 5" CARDSTOCK, 1 SIDE, FULL COVERAGE</t>
  </si>
  <si>
    <t>SCD166P</t>
  </si>
  <si>
    <t>6" X 6" CARDSTOCK, 1 SIDE, 1-2 COLOR</t>
  </si>
  <si>
    <t>SCD166PP</t>
  </si>
  <si>
    <t>6" X 6" CARDSTOCK, 1 SIDE, PROCESS PRINT</t>
  </si>
  <si>
    <t>SCD166FC</t>
  </si>
  <si>
    <t>6" X 6" CARDSTOCK, 1 SIDE, FULL COVERAGE</t>
  </si>
  <si>
    <t>SCD181P</t>
  </si>
  <si>
    <t>8.5" X 11" CARDSTOCK, 1 SIDE, 1-2 COLOR</t>
  </si>
  <si>
    <t>SCD181PP</t>
  </si>
  <si>
    <t>8.5" X 11" CARDSTOCK, 1 SIDE, PROCESS PRINT</t>
  </si>
  <si>
    <t>SCD181FC</t>
  </si>
  <si>
    <t>8.5" X 11" CARDSTOCK, 1 SIDE, FULL COVERAGE</t>
  </si>
  <si>
    <t>SCD254P</t>
  </si>
  <si>
    <t>5" X 4" CARDSTOCK, 2 SIDE, 1-2 COLOR</t>
  </si>
  <si>
    <t>SCD254PP</t>
  </si>
  <si>
    <t>5" X 4" CARDSTOCK, 2 SIDE, PROCESS PRINT</t>
  </si>
  <si>
    <t>SCD254FC</t>
  </si>
  <si>
    <t>5" X 4" CARDSTOCK, 2 SIDE, FULL COVERAGE</t>
  </si>
  <si>
    <t>SCD255P</t>
  </si>
  <si>
    <t>5" X 5" CARDSTOCK, 2 SIDE, 1-2 COLOR</t>
  </si>
  <si>
    <t>SCD255PP</t>
  </si>
  <si>
    <t>5" X 5" CARDSTOCK, 2 SIDE, PROCESS PRINT</t>
  </si>
  <si>
    <t>SCD255FC</t>
  </si>
  <si>
    <t>5" X 5" CARDSTOCK, 2 SIDE, FULL COVERAGE</t>
  </si>
  <si>
    <t>SCD266P</t>
  </si>
  <si>
    <t>6" X 6" CARDSTOCK, 2 SIDE, 1-2 COLOR</t>
  </si>
  <si>
    <t>SCD266PP</t>
  </si>
  <si>
    <t>6" X 6" CARDSTOCK, 2 SIDE, PROCESS PRINT</t>
  </si>
  <si>
    <t>SCD266FC</t>
  </si>
  <si>
    <t>6" X 6" CARDSTOCK, 2 SIDE, FULL COVERAGE</t>
  </si>
  <si>
    <t>SCD281P</t>
  </si>
  <si>
    <t>8.5" X 11" CARDSTOCK, 2 SIDE, 1-2 COLOR</t>
  </si>
  <si>
    <t>SCD281PP</t>
  </si>
  <si>
    <t>8.5" X 11" CARDSTOCK, 2 SIDE, PROCESS PRINT</t>
  </si>
  <si>
    <t>SCD281FC</t>
  </si>
  <si>
    <t>8.5" X 11" CARDSTOCK, 2 SIDE, FULL COVERAGE</t>
  </si>
  <si>
    <t>SRU145P</t>
  </si>
  <si>
    <t>RIGID POSTING SIGN</t>
  </si>
  <si>
    <t>4" X 5" COROPLAST, 1 SIDE, 1-2 COLOR</t>
  </si>
  <si>
    <t>SRU145PP</t>
  </si>
  <si>
    <t>4" X 5" COROPLAST, 1 SIDE, PROCESS PRINT</t>
  </si>
  <si>
    <t>SRU145FC</t>
  </si>
  <si>
    <t>4" X 5" COROPLAST, 1 SIDE, FULL COVERAGE</t>
  </si>
  <si>
    <t>SRU155P</t>
  </si>
  <si>
    <t>5" X 5" COROPLAST, 1 SIDE, 1-2 COLOR</t>
  </si>
  <si>
    <t>SRU155PP</t>
  </si>
  <si>
    <t>5" X 5" COROPLAST, 1 SIDE, PROCESS PRINT</t>
  </si>
  <si>
    <t>SRU155FC</t>
  </si>
  <si>
    <t>5" X 5" COROPLAST, 1 SIDE, FULL COVERAGE</t>
  </si>
  <si>
    <t>SRU245P</t>
  </si>
  <si>
    <t>4" X 5" COROPLAST, 2 SIDE, 1-2 COLOR</t>
  </si>
  <si>
    <t>SRU245PP</t>
  </si>
  <si>
    <t>4" X 5" COROPLAST, 2 SIDE, PROCESS PRINT</t>
  </si>
  <si>
    <t>SRU245FC</t>
  </si>
  <si>
    <t>4" X 5" COROPLAST, 2 SIDE, FULL COVERAGE</t>
  </si>
  <si>
    <t>SRU255P</t>
  </si>
  <si>
    <t>5" X 5" COROPLAST, 2 SIDE, 1-2 COLOR</t>
  </si>
  <si>
    <t>SRU255PP</t>
  </si>
  <si>
    <t>5" X 5" COROPLAST, 2 SIDE, PROCESS PRINT</t>
  </si>
  <si>
    <t>5" X 5" COROPLAST, 2 SIDE, FULL COVERAGE</t>
  </si>
  <si>
    <t xml:space="preserve">see price list attached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</si>
</sst>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&quot;$&quot;#,##0.00"/>
  </numFmts>
  <fonts count="13" x14ac:knownFonts="1">
    <font>
      <sz val="10"/>
      <name val="Arial"/>
      <family val="2"/>
    </font>
    <font>
      <b/>
      <sz val="16"/>
      <color indexed="8"/>
      <name val="Arial"/>
      <family val="2"/>
    </font>
    <font>
      <b/>
      <sz val="12"/>
      <color indexed="8"/>
      <name val="Arial"/>
      <family val="2"/>
    </font>
    <font>
      <sz val="8"/>
      <color indexed="8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u/>
      <sz val="12"/>
      <color indexed="8"/>
      <name val="Arial"/>
      <family val="2"/>
    </font>
    <font>
      <sz val="10"/>
      <name val="Calibri"/>
      <family val="2"/>
      <scheme val="minor"/>
    </font>
    <font>
      <sz val="11"/>
      <name val="Calibri"/>
      <family val="2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63">
    <xf numFmtId="0" fontId="0" fillId="0" borderId="0" xfId="0">
      <alignment vertical="center"/>
    </xf>
    <xf numFmtId="0" fontId="0" fillId="0" borderId="1" xfId="0" applyNumberFormat="1" applyFont="1" applyFill="1" applyBorder="1" applyAlignment="1">
      <alignment wrapText="1"/>
    </xf>
    <xf numFmtId="0" fontId="2" fillId="0" borderId="5" xfId="0" applyNumberFormat="1" applyFont="1" applyFill="1" applyBorder="1" applyAlignment="1"/>
    <xf numFmtId="0" fontId="2" fillId="0" borderId="0" xfId="0" applyNumberFormat="1" applyFont="1" applyFill="1" applyAlignment="1"/>
    <xf numFmtId="0" fontId="4" fillId="0" borderId="7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wrapText="1"/>
    </xf>
    <xf numFmtId="0" fontId="3" fillId="2" borderId="9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 applyAlignment="1"/>
    <xf numFmtId="0" fontId="0" fillId="0" borderId="0" xfId="0" applyFill="1" applyBorder="1">
      <alignment vertical="center"/>
    </xf>
    <xf numFmtId="0" fontId="0" fillId="0" borderId="5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horizontal="left"/>
    </xf>
    <xf numFmtId="14" fontId="0" fillId="0" borderId="0" xfId="0" applyNumberFormat="1" applyFont="1" applyFill="1" applyBorder="1" applyAlignment="1">
      <alignment wrapText="1"/>
    </xf>
    <xf numFmtId="0" fontId="6" fillId="3" borderId="6" xfId="0" applyFont="1" applyFill="1" applyBorder="1" applyAlignment="1">
      <alignment horizontal="center"/>
    </xf>
    <xf numFmtId="164" fontId="6" fillId="3" borderId="6" xfId="0" applyNumberFormat="1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 wrapText="1"/>
    </xf>
    <xf numFmtId="164" fontId="6" fillId="0" borderId="6" xfId="0" applyNumberFormat="1" applyFont="1" applyBorder="1" applyAlignment="1">
      <alignment horizontal="center"/>
    </xf>
    <xf numFmtId="0" fontId="4" fillId="0" borderId="6" xfId="0" applyNumberFormat="1" applyFont="1" applyFill="1" applyBorder="1" applyAlignment="1">
      <alignment horizontal="center" wrapText="1"/>
    </xf>
    <xf numFmtId="9" fontId="4" fillId="0" borderId="6" xfId="0" applyNumberFormat="1" applyFont="1" applyFill="1" applyBorder="1" applyAlignment="1">
      <alignment horizontal="center" wrapText="1"/>
    </xf>
    <xf numFmtId="164" fontId="4" fillId="0" borderId="6" xfId="0" applyNumberFormat="1" applyFont="1" applyFill="1" applyBorder="1" applyAlignment="1">
      <alignment horizontal="center" wrapText="1"/>
    </xf>
    <xf numFmtId="44" fontId="4" fillId="0" borderId="6" xfId="1" applyFont="1" applyFill="1" applyBorder="1" applyAlignment="1">
      <alignment horizontal="center" wrapText="1"/>
    </xf>
    <xf numFmtId="0" fontId="0" fillId="0" borderId="3" xfId="0" applyNumberFormat="1" applyFont="1" applyFill="1" applyBorder="1" applyAlignment="1">
      <alignment wrapText="1"/>
    </xf>
    <xf numFmtId="0" fontId="4" fillId="0" borderId="8" xfId="0" applyNumberFormat="1" applyFont="1" applyFill="1" applyBorder="1" applyAlignment="1"/>
    <xf numFmtId="0" fontId="0" fillId="0" borderId="4" xfId="0" applyNumberFormat="1" applyFont="1" applyFill="1" applyBorder="1" applyAlignment="1">
      <alignment wrapText="1"/>
    </xf>
    <xf numFmtId="0" fontId="4" fillId="0" borderId="7" xfId="0" applyNumberFormat="1" applyFont="1" applyFill="1" applyBorder="1" applyAlignment="1"/>
    <xf numFmtId="0" fontId="0" fillId="0" borderId="0" xfId="0">
      <alignment vertical="center"/>
    </xf>
    <xf numFmtId="0" fontId="4" fillId="0" borderId="2" xfId="0" applyNumberFormat="1" applyFont="1" applyFill="1" applyBorder="1" applyAlignment="1">
      <alignment vertical="top" wrapText="1"/>
    </xf>
    <xf numFmtId="0" fontId="4" fillId="0" borderId="0" xfId="0" applyNumberFormat="1" applyFont="1" applyFill="1" applyAlignment="1">
      <alignment vertical="top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10" fontId="4" fillId="0" borderId="6" xfId="2" applyNumberFormat="1" applyFont="1" applyFill="1" applyBorder="1" applyAlignment="1">
      <alignment horizontal="center" wrapText="1"/>
    </xf>
    <xf numFmtId="10" fontId="0" fillId="0" borderId="4" xfId="0" applyNumberFormat="1" applyFont="1" applyFill="1" applyBorder="1" applyAlignment="1">
      <alignment wrapText="1"/>
    </xf>
    <xf numFmtId="10" fontId="0" fillId="0" borderId="0" xfId="0" applyNumberFormat="1" applyFont="1" applyFill="1" applyBorder="1" applyAlignment="1">
      <alignment wrapText="1"/>
    </xf>
    <xf numFmtId="10" fontId="3" fillId="2" borderId="9" xfId="0" applyNumberFormat="1" applyFont="1" applyFill="1" applyBorder="1" applyAlignment="1">
      <alignment horizontal="center" wrapText="1"/>
    </xf>
    <xf numFmtId="10" fontId="0" fillId="0" borderId="0" xfId="0" applyNumberFormat="1">
      <alignment vertical="center"/>
    </xf>
    <xf numFmtId="10" fontId="0" fillId="0" borderId="5" xfId="0" applyNumberFormat="1" applyFont="1" applyFill="1" applyBorder="1" applyAlignment="1">
      <alignment wrapText="1"/>
    </xf>
    <xf numFmtId="10" fontId="5" fillId="0" borderId="0" xfId="0" applyNumberFormat="1" applyFont="1" applyAlignment="1">
      <alignment vertical="center"/>
    </xf>
    <xf numFmtId="10" fontId="0" fillId="0" borderId="3" xfId="0" applyNumberFormat="1" applyFont="1" applyFill="1" applyBorder="1" applyAlignment="1">
      <alignment wrapText="1"/>
    </xf>
    <xf numFmtId="10" fontId="0" fillId="0" borderId="0" xfId="0" applyNumberFormat="1" applyAlignment="1">
      <alignment vertical="center"/>
    </xf>
    <xf numFmtId="10" fontId="5" fillId="0" borderId="5" xfId="0" applyNumberFormat="1" applyFont="1" applyBorder="1" applyAlignment="1">
      <alignment vertical="center"/>
    </xf>
    <xf numFmtId="0" fontId="1" fillId="0" borderId="2" xfId="0" applyNumberFormat="1" applyFont="1" applyFill="1" applyBorder="1" applyAlignment="1"/>
    <xf numFmtId="0" fontId="0" fillId="0" borderId="0" xfId="0" applyBorder="1">
      <alignment vertical="center"/>
    </xf>
    <xf numFmtId="0" fontId="9" fillId="3" borderId="6" xfId="0" applyFont="1" applyFill="1" applyBorder="1" applyAlignment="1">
      <alignment horizontal="center"/>
    </xf>
    <xf numFmtId="0" fontId="10" fillId="0" borderId="0" xfId="0" applyFont="1">
      <alignment vertical="center"/>
    </xf>
    <xf numFmtId="0" fontId="9" fillId="3" borderId="6" xfId="0" applyFont="1" applyFill="1" applyBorder="1" applyAlignment="1">
      <alignment horizontal="center" vertical="center"/>
    </xf>
    <xf numFmtId="0" fontId="11" fillId="3" borderId="6" xfId="0" applyNumberFormat="1" applyFont="1" applyFill="1" applyBorder="1" applyAlignment="1">
      <alignment horizontal="center" wrapText="1"/>
    </xf>
    <xf numFmtId="44" fontId="9" fillId="3" borderId="6" xfId="1" applyFont="1" applyFill="1" applyBorder="1" applyAlignment="1">
      <alignment vertical="center"/>
    </xf>
    <xf numFmtId="0" fontId="11" fillId="3" borderId="6" xfId="0" applyNumberFormat="1" applyFont="1" applyFill="1" applyBorder="1" applyAlignment="1">
      <alignment horizontal="center"/>
    </xf>
    <xf numFmtId="9" fontId="11" fillId="3" borderId="6" xfId="0" applyNumberFormat="1" applyFont="1" applyFill="1" applyBorder="1" applyAlignment="1">
      <alignment horizontal="center" wrapText="1"/>
    </xf>
    <xf numFmtId="164" fontId="11" fillId="3" borderId="6" xfId="0" applyNumberFormat="1" applyFont="1" applyFill="1" applyBorder="1" applyAlignment="1">
      <alignment horizontal="center" wrapText="1"/>
    </xf>
    <xf numFmtId="10" fontId="11" fillId="3" borderId="6" xfId="2" applyNumberFormat="1" applyFont="1" applyFill="1" applyBorder="1" applyAlignment="1">
      <alignment horizontal="center" wrapText="1"/>
    </xf>
    <xf numFmtId="164" fontId="9" fillId="3" borderId="6" xfId="0" applyNumberFormat="1" applyFont="1" applyFill="1" applyBorder="1" applyAlignment="1">
      <alignment horizontal="center"/>
    </xf>
    <xf numFmtId="44" fontId="11" fillId="3" borderId="6" xfId="1" applyFont="1" applyFill="1" applyBorder="1" applyAlignment="1">
      <alignment horizontal="center" wrapText="1"/>
    </xf>
    <xf numFmtId="0" fontId="9" fillId="3" borderId="0" xfId="0" applyFont="1" applyFill="1">
      <alignment vertical="center"/>
    </xf>
    <xf numFmtId="0" fontId="9" fillId="3" borderId="6" xfId="0" applyNumberFormat="1" applyFont="1" applyFill="1" applyBorder="1" applyAlignment="1">
      <alignment horizontal="center" wrapText="1"/>
    </xf>
    <xf numFmtId="44" fontId="9" fillId="3" borderId="6" xfId="1" applyFont="1" applyFill="1" applyBorder="1" applyAlignment="1">
      <alignment wrapText="1"/>
    </xf>
    <xf numFmtId="0" fontId="12" fillId="3" borderId="6" xfId="0" applyFont="1" applyFill="1" applyBorder="1" applyAlignment="1">
      <alignment horizontal="center"/>
    </xf>
    <xf numFmtId="0" fontId="9" fillId="3" borderId="4" xfId="0" applyNumberFormat="1" applyFont="1" applyFill="1" applyBorder="1" applyAlignment="1">
      <alignment wrapText="1"/>
    </xf>
    <xf numFmtId="0" fontId="9" fillId="3" borderId="5" xfId="0" applyNumberFormat="1" applyFont="1" applyFill="1" applyBorder="1" applyAlignment="1">
      <alignment wrapText="1"/>
    </xf>
    <xf numFmtId="0" fontId="9" fillId="3" borderId="0" xfId="0" applyFont="1" applyFill="1" applyAlignment="1">
      <alignment vertical="center"/>
    </xf>
    <xf numFmtId="0" fontId="9" fillId="3" borderId="5" xfId="0" applyFont="1" applyFill="1" applyBorder="1" applyAlignment="1">
      <alignment vertical="center"/>
    </xf>
    <xf numFmtId="0" fontId="9" fillId="3" borderId="3" xfId="0" applyNumberFormat="1" applyFont="1" applyFill="1" applyBorder="1" applyAlignment="1">
      <alignment wrapText="1"/>
    </xf>
    <xf numFmtId="0" fontId="12" fillId="3" borderId="10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FBFB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A8A8A8"/>
      </a:dk1>
      <a:lt1>
        <a:sysClr val="window" lastClr="1C1C1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7"/>
  <sheetViews>
    <sheetView tabSelected="1" zoomScaleNormal="100" zoomScalePageLayoutView="90" workbookViewId="0">
      <selection activeCell="C6" sqref="C6"/>
    </sheetView>
  </sheetViews>
  <sheetFormatPr defaultColWidth="9.140625" defaultRowHeight="15" customHeight="1" x14ac:dyDescent="0.2"/>
  <cols>
    <col min="1" max="1" width="15.5703125" style="24" customWidth="1"/>
    <col min="2" max="2" width="33.28515625" style="24" customWidth="1"/>
    <col min="3" max="3" width="19.28515625" style="24" customWidth="1"/>
    <col min="4" max="4" width="10.28515625" style="24" customWidth="1"/>
    <col min="5" max="5" width="14.42578125" style="24" customWidth="1"/>
    <col min="6" max="6" width="28.42578125" style="24" customWidth="1"/>
    <col min="7" max="7" width="47.7109375" style="24" customWidth="1"/>
    <col min="8" max="8" width="15.5703125" style="24" customWidth="1"/>
    <col min="9" max="9" width="13" style="24" customWidth="1"/>
    <col min="10" max="10" width="15.85546875" style="24" customWidth="1"/>
    <col min="11" max="11" width="11.28515625" style="24" customWidth="1"/>
    <col min="12" max="12" width="14.5703125" style="24" customWidth="1"/>
    <col min="13" max="13" width="11.140625" style="34" customWidth="1"/>
    <col min="14" max="14" width="9.140625" style="24" customWidth="1"/>
    <col min="15" max="15" width="10.85546875" style="24" customWidth="1"/>
    <col min="16" max="16" width="12.42578125" style="24" customWidth="1"/>
    <col min="17" max="17" width="9.140625" style="24" customWidth="1"/>
    <col min="18" max="18" width="8.5703125" style="24" customWidth="1"/>
    <col min="19" max="19" width="9.42578125" style="24" customWidth="1"/>
    <col min="20" max="21" width="9.140625" style="24" customWidth="1"/>
    <col min="22" max="16384" width="9.140625" style="24"/>
  </cols>
  <sheetData>
    <row r="1" spans="1:19" ht="20.25" x14ac:dyDescent="0.3">
      <c r="G1" s="1"/>
      <c r="H1" s="40" t="s">
        <v>27</v>
      </c>
      <c r="I1" s="20"/>
      <c r="J1" s="20"/>
      <c r="K1" s="5"/>
      <c r="L1" s="5"/>
      <c r="M1" s="32"/>
      <c r="N1" s="5"/>
      <c r="O1" s="41"/>
    </row>
    <row r="2" spans="1:19" ht="15" customHeight="1" x14ac:dyDescent="0.2">
      <c r="H2" s="22"/>
      <c r="I2" s="22"/>
      <c r="J2" s="22"/>
      <c r="K2" s="5"/>
      <c r="L2" s="5"/>
      <c r="M2" s="32"/>
      <c r="N2" s="5"/>
      <c r="O2" s="41"/>
    </row>
    <row r="3" spans="1:19" s="8" customFormat="1" ht="14.25" x14ac:dyDescent="0.2">
      <c r="A3" s="7"/>
      <c r="B3" s="10" t="s">
        <v>30</v>
      </c>
      <c r="C3" s="5"/>
      <c r="D3" s="5"/>
      <c r="E3" s="5"/>
      <c r="F3" s="5"/>
      <c r="G3" s="5"/>
      <c r="H3" s="5"/>
      <c r="I3" s="5"/>
      <c r="J3" s="5"/>
      <c r="K3" s="5"/>
      <c r="L3" s="5"/>
      <c r="M3" s="32"/>
      <c r="N3" s="5"/>
      <c r="O3" s="5"/>
      <c r="P3" s="11"/>
      <c r="Q3" s="5"/>
      <c r="R3" s="5"/>
      <c r="S3" s="5"/>
    </row>
    <row r="4" spans="1:19" ht="93.75" customHeight="1" x14ac:dyDescent="0.2">
      <c r="A4" s="6" t="s">
        <v>9</v>
      </c>
      <c r="B4" s="6" t="s">
        <v>20</v>
      </c>
      <c r="C4" s="6" t="s">
        <v>28</v>
      </c>
      <c r="D4" s="6" t="s">
        <v>4</v>
      </c>
      <c r="E4" s="6" t="s">
        <v>29</v>
      </c>
      <c r="F4" s="6" t="s">
        <v>0</v>
      </c>
      <c r="G4" s="6" t="s">
        <v>2</v>
      </c>
      <c r="H4" s="6" t="s">
        <v>17</v>
      </c>
      <c r="I4" s="6" t="s">
        <v>14</v>
      </c>
      <c r="J4" s="6" t="s">
        <v>8</v>
      </c>
      <c r="K4" s="6" t="s">
        <v>11</v>
      </c>
      <c r="L4" s="6" t="s">
        <v>6</v>
      </c>
      <c r="M4" s="33" t="s">
        <v>19</v>
      </c>
      <c r="N4" s="6" t="s">
        <v>5</v>
      </c>
      <c r="O4" s="6" t="s">
        <v>16</v>
      </c>
      <c r="P4" s="6" t="s">
        <v>15</v>
      </c>
      <c r="Q4" s="6" t="s">
        <v>12</v>
      </c>
    </row>
    <row r="5" spans="1:19" ht="45" x14ac:dyDescent="0.2">
      <c r="A5" s="12" t="s">
        <v>31</v>
      </c>
      <c r="B5" s="12" t="s">
        <v>32</v>
      </c>
      <c r="C5" s="12" t="s">
        <v>36</v>
      </c>
      <c r="D5" s="12" t="s">
        <v>36</v>
      </c>
      <c r="E5" s="16" t="s">
        <v>132</v>
      </c>
      <c r="F5" s="14" t="s">
        <v>133</v>
      </c>
      <c r="G5" s="14" t="s">
        <v>134</v>
      </c>
      <c r="H5" s="12">
        <v>200</v>
      </c>
      <c r="I5" s="13">
        <v>11.8</v>
      </c>
      <c r="J5" s="16" t="s">
        <v>231</v>
      </c>
      <c r="K5" s="17">
        <v>0</v>
      </c>
      <c r="L5" s="18">
        <f>I5</f>
        <v>11.8</v>
      </c>
      <c r="M5" s="30">
        <v>0.10847457627118653</v>
      </c>
      <c r="N5" s="15">
        <v>10.5</v>
      </c>
      <c r="O5" s="19">
        <v>10.579345088161208</v>
      </c>
      <c r="P5" s="45" t="s">
        <v>394</v>
      </c>
      <c r="Q5" s="12" t="s">
        <v>232</v>
      </c>
    </row>
    <row r="6" spans="1:19" ht="45" x14ac:dyDescent="0.2">
      <c r="A6" s="12" t="s">
        <v>31</v>
      </c>
      <c r="B6" s="12" t="s">
        <v>32</v>
      </c>
      <c r="C6" s="12" t="s">
        <v>37</v>
      </c>
      <c r="D6" s="12" t="s">
        <v>37</v>
      </c>
      <c r="E6" s="16" t="s">
        <v>132</v>
      </c>
      <c r="F6" s="14" t="s">
        <v>133</v>
      </c>
      <c r="G6" s="14" t="s">
        <v>135</v>
      </c>
      <c r="H6" s="12">
        <v>200</v>
      </c>
      <c r="I6" s="13">
        <v>12.2</v>
      </c>
      <c r="J6" s="16" t="s">
        <v>231</v>
      </c>
      <c r="K6" s="17">
        <v>0</v>
      </c>
      <c r="L6" s="18">
        <f t="shared" ref="L6:L69" si="0">I6</f>
        <v>12.2</v>
      </c>
      <c r="M6" s="30">
        <v>0.10819672131147542</v>
      </c>
      <c r="N6" s="15">
        <v>10.8</v>
      </c>
      <c r="O6" s="19">
        <v>10.8816120906801</v>
      </c>
      <c r="P6" s="45" t="s">
        <v>394</v>
      </c>
      <c r="Q6" s="12" t="s">
        <v>232</v>
      </c>
    </row>
    <row r="7" spans="1:19" ht="45" x14ac:dyDescent="0.2">
      <c r="A7" s="12" t="s">
        <v>31</v>
      </c>
      <c r="B7" s="12" t="s">
        <v>32</v>
      </c>
      <c r="C7" s="12" t="s">
        <v>38</v>
      </c>
      <c r="D7" s="12" t="s">
        <v>38</v>
      </c>
      <c r="E7" s="16" t="s">
        <v>132</v>
      </c>
      <c r="F7" s="14" t="s">
        <v>133</v>
      </c>
      <c r="G7" s="14" t="s">
        <v>136</v>
      </c>
      <c r="H7" s="12">
        <v>500</v>
      </c>
      <c r="I7" s="13">
        <v>27.6</v>
      </c>
      <c r="J7" s="16" t="s">
        <v>231</v>
      </c>
      <c r="K7" s="17">
        <v>0</v>
      </c>
      <c r="L7" s="18">
        <f t="shared" si="0"/>
        <v>27.6</v>
      </c>
      <c r="M7" s="30">
        <v>0.11086956521739136</v>
      </c>
      <c r="N7" s="15">
        <v>24.5</v>
      </c>
      <c r="O7" s="19">
        <v>24.685138539042821</v>
      </c>
      <c r="P7" s="45" t="s">
        <v>394</v>
      </c>
      <c r="Q7" s="12" t="s">
        <v>232</v>
      </c>
    </row>
    <row r="8" spans="1:19" ht="45" x14ac:dyDescent="0.2">
      <c r="A8" s="12" t="s">
        <v>31</v>
      </c>
      <c r="B8" s="12" t="s">
        <v>32</v>
      </c>
      <c r="C8" s="12" t="s">
        <v>39</v>
      </c>
      <c r="D8" s="12" t="s">
        <v>39</v>
      </c>
      <c r="E8" s="16" t="s">
        <v>132</v>
      </c>
      <c r="F8" s="14" t="s">
        <v>133</v>
      </c>
      <c r="G8" s="14" t="s">
        <v>137</v>
      </c>
      <c r="H8" s="12">
        <v>500</v>
      </c>
      <c r="I8" s="13">
        <v>27.1</v>
      </c>
      <c r="J8" s="16" t="s">
        <v>231</v>
      </c>
      <c r="K8" s="17">
        <v>0</v>
      </c>
      <c r="L8" s="18">
        <f t="shared" si="0"/>
        <v>27.1</v>
      </c>
      <c r="M8" s="30">
        <v>0.11107011070110709</v>
      </c>
      <c r="N8" s="15">
        <v>24</v>
      </c>
      <c r="O8" s="19">
        <v>24.181360201511335</v>
      </c>
      <c r="P8" s="45" t="s">
        <v>394</v>
      </c>
      <c r="Q8" s="12" t="s">
        <v>232</v>
      </c>
    </row>
    <row r="9" spans="1:19" ht="45" x14ac:dyDescent="0.2">
      <c r="A9" s="12" t="s">
        <v>31</v>
      </c>
      <c r="B9" s="12" t="s">
        <v>32</v>
      </c>
      <c r="C9" s="12" t="s">
        <v>40</v>
      </c>
      <c r="D9" s="12" t="s">
        <v>40</v>
      </c>
      <c r="E9" s="16" t="s">
        <v>132</v>
      </c>
      <c r="F9" s="14" t="s">
        <v>133</v>
      </c>
      <c r="G9" s="14" t="s">
        <v>138</v>
      </c>
      <c r="H9" s="12">
        <v>1000</v>
      </c>
      <c r="I9" s="13">
        <v>42.1</v>
      </c>
      <c r="J9" s="16" t="s">
        <v>231</v>
      </c>
      <c r="K9" s="17">
        <v>0</v>
      </c>
      <c r="L9" s="18">
        <f t="shared" si="0"/>
        <v>42.1</v>
      </c>
      <c r="M9" s="30">
        <v>0.21876484560570067</v>
      </c>
      <c r="N9" s="15">
        <v>32.799999999999997</v>
      </c>
      <c r="O9" s="19">
        <v>33.047858942065488</v>
      </c>
      <c r="P9" s="45" t="s">
        <v>394</v>
      </c>
      <c r="Q9" s="12" t="s">
        <v>232</v>
      </c>
    </row>
    <row r="10" spans="1:19" ht="45" x14ac:dyDescent="0.2">
      <c r="A10" s="12" t="s">
        <v>31</v>
      </c>
      <c r="B10" s="12" t="s">
        <v>32</v>
      </c>
      <c r="C10" s="12" t="s">
        <v>41</v>
      </c>
      <c r="D10" s="12" t="s">
        <v>41</v>
      </c>
      <c r="E10" s="16" t="s">
        <v>132</v>
      </c>
      <c r="F10" s="14" t="s">
        <v>133</v>
      </c>
      <c r="G10" s="14" t="s">
        <v>139</v>
      </c>
      <c r="H10" s="12">
        <v>1000</v>
      </c>
      <c r="I10" s="13">
        <v>44.8</v>
      </c>
      <c r="J10" s="16" t="s">
        <v>231</v>
      </c>
      <c r="K10" s="17">
        <v>0</v>
      </c>
      <c r="L10" s="18">
        <f t="shared" si="0"/>
        <v>44.8</v>
      </c>
      <c r="M10" s="30">
        <v>0.1085</v>
      </c>
      <c r="N10" s="15">
        <v>39.9392</v>
      </c>
      <c r="O10" s="19">
        <v>40.241007556675058</v>
      </c>
      <c r="P10" s="45" t="s">
        <v>394</v>
      </c>
      <c r="Q10" s="12" t="s">
        <v>232</v>
      </c>
    </row>
    <row r="11" spans="1:19" ht="45" x14ac:dyDescent="0.2">
      <c r="A11" s="12" t="s">
        <v>31</v>
      </c>
      <c r="B11" s="12" t="s">
        <v>32</v>
      </c>
      <c r="C11" s="12" t="s">
        <v>42</v>
      </c>
      <c r="D11" s="12" t="s">
        <v>42</v>
      </c>
      <c r="E11" s="16" t="s">
        <v>132</v>
      </c>
      <c r="F11" s="14" t="s">
        <v>133</v>
      </c>
      <c r="G11" s="14" t="s">
        <v>140</v>
      </c>
      <c r="H11" s="12">
        <v>1000</v>
      </c>
      <c r="I11" s="13">
        <v>49.5</v>
      </c>
      <c r="J11" s="16" t="s">
        <v>231</v>
      </c>
      <c r="K11" s="17">
        <v>0</v>
      </c>
      <c r="L11" s="18">
        <f t="shared" si="0"/>
        <v>49.5</v>
      </c>
      <c r="M11" s="30">
        <v>0.21515151515151523</v>
      </c>
      <c r="N11" s="15">
        <v>38.799999999999997</v>
      </c>
      <c r="O11" s="19">
        <v>39.09319899244332</v>
      </c>
      <c r="P11" s="45" t="s">
        <v>394</v>
      </c>
      <c r="Q11" s="12" t="s">
        <v>232</v>
      </c>
    </row>
    <row r="12" spans="1:19" ht="45" x14ac:dyDescent="0.2">
      <c r="A12" s="12" t="s">
        <v>31</v>
      </c>
      <c r="B12" s="12" t="s">
        <v>32</v>
      </c>
      <c r="C12" s="12" t="s">
        <v>43</v>
      </c>
      <c r="D12" s="12" t="s">
        <v>43</v>
      </c>
      <c r="E12" s="16" t="s">
        <v>132</v>
      </c>
      <c r="F12" s="14" t="s">
        <v>133</v>
      </c>
      <c r="G12" s="14" t="s">
        <v>141</v>
      </c>
      <c r="H12" s="12">
        <v>1000</v>
      </c>
      <c r="I12" s="13">
        <v>57.7</v>
      </c>
      <c r="J12" s="16" t="s">
        <v>231</v>
      </c>
      <c r="K12" s="17">
        <v>0</v>
      </c>
      <c r="L12" s="18">
        <f t="shared" si="0"/>
        <v>57.7</v>
      </c>
      <c r="M12" s="30">
        <v>0.21438474870017335</v>
      </c>
      <c r="N12" s="15">
        <v>45.3</v>
      </c>
      <c r="O12" s="19">
        <v>45.642317380352637</v>
      </c>
      <c r="P12" s="45" t="s">
        <v>394</v>
      </c>
      <c r="Q12" s="12" t="s">
        <v>232</v>
      </c>
    </row>
    <row r="13" spans="1:19" ht="45" x14ac:dyDescent="0.2">
      <c r="A13" s="12" t="s">
        <v>31</v>
      </c>
      <c r="B13" s="12" t="s">
        <v>32</v>
      </c>
      <c r="C13" s="12" t="s">
        <v>44</v>
      </c>
      <c r="D13" s="12" t="s">
        <v>44</v>
      </c>
      <c r="E13" s="16" t="s">
        <v>132</v>
      </c>
      <c r="F13" s="14" t="s">
        <v>133</v>
      </c>
      <c r="G13" s="14" t="s">
        <v>142</v>
      </c>
      <c r="H13" s="12">
        <v>1000</v>
      </c>
      <c r="I13" s="13">
        <v>62.6</v>
      </c>
      <c r="J13" s="16" t="s">
        <v>231</v>
      </c>
      <c r="K13" s="17">
        <v>0</v>
      </c>
      <c r="L13" s="18">
        <f t="shared" si="0"/>
        <v>62.6</v>
      </c>
      <c r="M13" s="30">
        <v>0.21661341853035146</v>
      </c>
      <c r="N13" s="15">
        <v>49</v>
      </c>
      <c r="O13" s="19">
        <v>49.370277078085643</v>
      </c>
      <c r="P13" s="45" t="s">
        <v>394</v>
      </c>
      <c r="Q13" s="12" t="s">
        <v>232</v>
      </c>
    </row>
    <row r="14" spans="1:19" ht="45" x14ac:dyDescent="0.2">
      <c r="A14" s="12" t="s">
        <v>31</v>
      </c>
      <c r="B14" s="12" t="s">
        <v>32</v>
      </c>
      <c r="C14" s="12" t="s">
        <v>45</v>
      </c>
      <c r="D14" s="12" t="s">
        <v>45</v>
      </c>
      <c r="E14" s="16" t="s">
        <v>132</v>
      </c>
      <c r="F14" s="14" t="s">
        <v>133</v>
      </c>
      <c r="G14" s="14" t="s">
        <v>143</v>
      </c>
      <c r="H14" s="12">
        <v>1000</v>
      </c>
      <c r="I14" s="13">
        <v>49.3</v>
      </c>
      <c r="J14" s="16" t="s">
        <v>231</v>
      </c>
      <c r="K14" s="17">
        <v>0</v>
      </c>
      <c r="L14" s="18">
        <f t="shared" si="0"/>
        <v>49.3</v>
      </c>
      <c r="M14" s="30">
        <v>0.21561866125760645</v>
      </c>
      <c r="N14" s="15">
        <v>38.6</v>
      </c>
      <c r="O14" s="19">
        <v>38.89168765743073</v>
      </c>
      <c r="P14" s="45" t="s">
        <v>394</v>
      </c>
      <c r="Q14" s="12" t="s">
        <v>232</v>
      </c>
    </row>
    <row r="15" spans="1:19" ht="45" x14ac:dyDescent="0.2">
      <c r="A15" s="12" t="s">
        <v>31</v>
      </c>
      <c r="B15" s="12" t="s">
        <v>32</v>
      </c>
      <c r="C15" s="12" t="s">
        <v>46</v>
      </c>
      <c r="D15" s="12" t="s">
        <v>46</v>
      </c>
      <c r="E15" s="16" t="s">
        <v>132</v>
      </c>
      <c r="F15" s="14" t="s">
        <v>133</v>
      </c>
      <c r="G15" s="14" t="s">
        <v>144</v>
      </c>
      <c r="H15" s="12">
        <v>1000</v>
      </c>
      <c r="I15" s="13">
        <v>51.8</v>
      </c>
      <c r="J15" s="16" t="s">
        <v>231</v>
      </c>
      <c r="K15" s="17">
        <v>0</v>
      </c>
      <c r="L15" s="18">
        <f t="shared" si="0"/>
        <v>51.8</v>
      </c>
      <c r="M15" s="30">
        <v>0.21583011583011583</v>
      </c>
      <c r="N15" s="15">
        <v>40.6</v>
      </c>
      <c r="O15" s="19">
        <v>40.906801007556673</v>
      </c>
      <c r="P15" s="45" t="s">
        <v>394</v>
      </c>
      <c r="Q15" s="12" t="s">
        <v>232</v>
      </c>
    </row>
    <row r="16" spans="1:19" ht="45" x14ac:dyDescent="0.2">
      <c r="A16" s="12" t="s">
        <v>31</v>
      </c>
      <c r="B16" s="12" t="s">
        <v>32</v>
      </c>
      <c r="C16" s="12" t="s">
        <v>47</v>
      </c>
      <c r="D16" s="12" t="s">
        <v>47</v>
      </c>
      <c r="E16" s="16" t="s">
        <v>132</v>
      </c>
      <c r="F16" s="14" t="s">
        <v>133</v>
      </c>
      <c r="G16" s="14" t="s">
        <v>145</v>
      </c>
      <c r="H16" s="12">
        <v>1000</v>
      </c>
      <c r="I16" s="13">
        <v>54.1</v>
      </c>
      <c r="J16" s="16" t="s">
        <v>231</v>
      </c>
      <c r="K16" s="17">
        <v>0</v>
      </c>
      <c r="L16" s="18">
        <f t="shared" si="0"/>
        <v>54.1</v>
      </c>
      <c r="M16" s="30">
        <v>0.21645101663585956</v>
      </c>
      <c r="N16" s="15">
        <v>42.3</v>
      </c>
      <c r="O16" s="19">
        <v>42.619647355163721</v>
      </c>
      <c r="P16" s="45" t="s">
        <v>394</v>
      </c>
      <c r="Q16" s="12" t="s">
        <v>232</v>
      </c>
    </row>
    <row r="17" spans="1:17" ht="45" x14ac:dyDescent="0.2">
      <c r="A17" s="12" t="s">
        <v>31</v>
      </c>
      <c r="B17" s="12" t="s">
        <v>32</v>
      </c>
      <c r="C17" s="12" t="s">
        <v>48</v>
      </c>
      <c r="D17" s="12" t="s">
        <v>48</v>
      </c>
      <c r="E17" s="16" t="s">
        <v>132</v>
      </c>
      <c r="F17" s="14" t="s">
        <v>133</v>
      </c>
      <c r="G17" s="14" t="s">
        <v>146</v>
      </c>
      <c r="H17" s="12">
        <v>1000</v>
      </c>
      <c r="I17" s="13">
        <v>56.5</v>
      </c>
      <c r="J17" s="16" t="s">
        <v>231</v>
      </c>
      <c r="K17" s="17">
        <v>0</v>
      </c>
      <c r="L17" s="18">
        <f t="shared" si="0"/>
        <v>56.5</v>
      </c>
      <c r="M17" s="30">
        <v>0.1085</v>
      </c>
      <c r="N17" s="15">
        <v>50.369749999999996</v>
      </c>
      <c r="O17" s="19">
        <v>50.750377833753141</v>
      </c>
      <c r="P17" s="45" t="s">
        <v>394</v>
      </c>
      <c r="Q17" s="12" t="s">
        <v>232</v>
      </c>
    </row>
    <row r="18" spans="1:17" ht="45" x14ac:dyDescent="0.2">
      <c r="A18" s="12" t="s">
        <v>31</v>
      </c>
      <c r="B18" s="12" t="s">
        <v>32</v>
      </c>
      <c r="C18" s="12" t="s">
        <v>49</v>
      </c>
      <c r="D18" s="12" t="s">
        <v>49</v>
      </c>
      <c r="E18" s="16" t="s">
        <v>132</v>
      </c>
      <c r="F18" s="14" t="s">
        <v>133</v>
      </c>
      <c r="G18" s="14" t="s">
        <v>147</v>
      </c>
      <c r="H18" s="12">
        <v>1000</v>
      </c>
      <c r="I18" s="13">
        <v>61.4</v>
      </c>
      <c r="J18" s="16" t="s">
        <v>231</v>
      </c>
      <c r="K18" s="17">
        <v>0</v>
      </c>
      <c r="L18" s="18">
        <f t="shared" si="0"/>
        <v>61.4</v>
      </c>
      <c r="M18" s="30">
        <v>0.21889250814332242</v>
      </c>
      <c r="N18" s="15">
        <v>47.9</v>
      </c>
      <c r="O18" s="19">
        <v>48.261964735516372</v>
      </c>
      <c r="P18" s="45" t="s">
        <v>394</v>
      </c>
      <c r="Q18" s="12" t="s">
        <v>232</v>
      </c>
    </row>
    <row r="19" spans="1:17" ht="45" x14ac:dyDescent="0.2">
      <c r="A19" s="12" t="s">
        <v>31</v>
      </c>
      <c r="B19" s="12" t="s">
        <v>32</v>
      </c>
      <c r="C19" s="12" t="s">
        <v>50</v>
      </c>
      <c r="D19" s="12" t="s">
        <v>50</v>
      </c>
      <c r="E19" s="16" t="s">
        <v>132</v>
      </c>
      <c r="F19" s="14" t="s">
        <v>133</v>
      </c>
      <c r="G19" s="14" t="s">
        <v>148</v>
      </c>
      <c r="H19" s="12">
        <v>1000</v>
      </c>
      <c r="I19" s="13">
        <v>66.8</v>
      </c>
      <c r="J19" s="16" t="s">
        <v>231</v>
      </c>
      <c r="K19" s="17">
        <v>0</v>
      </c>
      <c r="L19" s="18">
        <f t="shared" si="0"/>
        <v>66.8</v>
      </c>
      <c r="M19" s="30">
        <v>0.1085</v>
      </c>
      <c r="N19" s="15">
        <v>59.552199999999999</v>
      </c>
      <c r="O19" s="19">
        <v>60.002216624685133</v>
      </c>
      <c r="P19" s="45" t="s">
        <v>394</v>
      </c>
      <c r="Q19" s="12" t="s">
        <v>232</v>
      </c>
    </row>
    <row r="20" spans="1:17" ht="45" x14ac:dyDescent="0.2">
      <c r="A20" s="12" t="s">
        <v>31</v>
      </c>
      <c r="B20" s="12" t="s">
        <v>32</v>
      </c>
      <c r="C20" s="12" t="s">
        <v>51</v>
      </c>
      <c r="D20" s="12" t="s">
        <v>51</v>
      </c>
      <c r="E20" s="16" t="s">
        <v>132</v>
      </c>
      <c r="F20" s="14" t="s">
        <v>133</v>
      </c>
      <c r="G20" s="14" t="s">
        <v>149</v>
      </c>
      <c r="H20" s="12">
        <v>1000</v>
      </c>
      <c r="I20" s="13">
        <v>70.3</v>
      </c>
      <c r="J20" s="16" t="s">
        <v>231</v>
      </c>
      <c r="K20" s="17">
        <v>0</v>
      </c>
      <c r="L20" s="18">
        <f t="shared" si="0"/>
        <v>70.3</v>
      </c>
      <c r="M20" s="30">
        <v>0.21806543385490754</v>
      </c>
      <c r="N20" s="15">
        <v>54.9</v>
      </c>
      <c r="O20" s="19">
        <v>55.314861460957175</v>
      </c>
      <c r="P20" s="45" t="s">
        <v>394</v>
      </c>
      <c r="Q20" s="12" t="s">
        <v>232</v>
      </c>
    </row>
    <row r="21" spans="1:17" ht="45" x14ac:dyDescent="0.2">
      <c r="A21" s="12" t="s">
        <v>31</v>
      </c>
      <c r="B21" s="12" t="s">
        <v>32</v>
      </c>
      <c r="C21" s="12" t="s">
        <v>52</v>
      </c>
      <c r="D21" s="12" t="s">
        <v>52</v>
      </c>
      <c r="E21" s="16" t="s">
        <v>132</v>
      </c>
      <c r="F21" s="14" t="s">
        <v>133</v>
      </c>
      <c r="G21" s="14" t="s">
        <v>150</v>
      </c>
      <c r="H21" s="12">
        <v>1000</v>
      </c>
      <c r="I21" s="13">
        <v>74.8</v>
      </c>
      <c r="J21" s="16" t="s">
        <v>231</v>
      </c>
      <c r="K21" s="17">
        <v>0</v>
      </c>
      <c r="L21" s="18">
        <f t="shared" si="0"/>
        <v>74.8</v>
      </c>
      <c r="M21" s="30">
        <v>0.21898395721925126</v>
      </c>
      <c r="N21" s="15">
        <v>58.4</v>
      </c>
      <c r="O21" s="19">
        <v>58.841309823677577</v>
      </c>
      <c r="P21" s="45" t="s">
        <v>394</v>
      </c>
      <c r="Q21" s="12" t="s">
        <v>232</v>
      </c>
    </row>
    <row r="22" spans="1:17" ht="45" x14ac:dyDescent="0.2">
      <c r="A22" s="12" t="s">
        <v>31</v>
      </c>
      <c r="B22" s="12" t="s">
        <v>32</v>
      </c>
      <c r="C22" s="12" t="s">
        <v>53</v>
      </c>
      <c r="D22" s="12" t="s">
        <v>53</v>
      </c>
      <c r="E22" s="16" t="s">
        <v>132</v>
      </c>
      <c r="F22" s="14" t="s">
        <v>133</v>
      </c>
      <c r="G22" s="14" t="s">
        <v>151</v>
      </c>
      <c r="H22" s="12">
        <v>1000</v>
      </c>
      <c r="I22" s="13">
        <v>40.200000000000003</v>
      </c>
      <c r="J22" s="16" t="s">
        <v>231</v>
      </c>
      <c r="K22" s="17">
        <v>0</v>
      </c>
      <c r="L22" s="18">
        <f t="shared" si="0"/>
        <v>40.200000000000003</v>
      </c>
      <c r="M22" s="30">
        <v>0.22437810945273631</v>
      </c>
      <c r="N22" s="15">
        <v>31.1</v>
      </c>
      <c r="O22" s="19">
        <v>31.335012594458437</v>
      </c>
      <c r="P22" s="45" t="s">
        <v>394</v>
      </c>
      <c r="Q22" s="12" t="s">
        <v>232</v>
      </c>
    </row>
    <row r="23" spans="1:17" ht="45" x14ac:dyDescent="0.2">
      <c r="A23" s="12" t="s">
        <v>31</v>
      </c>
      <c r="B23" s="12" t="s">
        <v>32</v>
      </c>
      <c r="C23" s="12" t="s">
        <v>54</v>
      </c>
      <c r="D23" s="12" t="s">
        <v>54</v>
      </c>
      <c r="E23" s="16" t="s">
        <v>132</v>
      </c>
      <c r="F23" s="14" t="s">
        <v>133</v>
      </c>
      <c r="G23" s="14" t="s">
        <v>152</v>
      </c>
      <c r="H23" s="12">
        <v>1000</v>
      </c>
      <c r="I23" s="13">
        <v>53.5</v>
      </c>
      <c r="J23" s="16" t="s">
        <v>231</v>
      </c>
      <c r="K23" s="17">
        <v>0</v>
      </c>
      <c r="L23" s="18">
        <f t="shared" si="0"/>
        <v>53.5</v>
      </c>
      <c r="M23" s="30">
        <v>0.21775700934579437</v>
      </c>
      <c r="N23" s="15">
        <v>41.8</v>
      </c>
      <c r="O23" s="19">
        <v>42.115869017632235</v>
      </c>
      <c r="P23" s="45" t="s">
        <v>394</v>
      </c>
      <c r="Q23" s="12" t="s">
        <v>232</v>
      </c>
    </row>
    <row r="24" spans="1:17" ht="45" x14ac:dyDescent="0.2">
      <c r="A24" s="12" t="s">
        <v>31</v>
      </c>
      <c r="B24" s="12" t="s">
        <v>32</v>
      </c>
      <c r="C24" s="12" t="s">
        <v>55</v>
      </c>
      <c r="D24" s="12" t="s">
        <v>55</v>
      </c>
      <c r="E24" s="16" t="s">
        <v>132</v>
      </c>
      <c r="F24" s="14" t="s">
        <v>133</v>
      </c>
      <c r="G24" s="14" t="s">
        <v>153</v>
      </c>
      <c r="H24" s="12">
        <v>1000</v>
      </c>
      <c r="I24" s="13">
        <v>58.7</v>
      </c>
      <c r="J24" s="16" t="s">
        <v>231</v>
      </c>
      <c r="K24" s="17">
        <v>0</v>
      </c>
      <c r="L24" s="18">
        <f t="shared" si="0"/>
        <v>58.7</v>
      </c>
      <c r="M24" s="30">
        <v>0.21925042589437818</v>
      </c>
      <c r="N24" s="15">
        <v>45.8</v>
      </c>
      <c r="O24" s="19">
        <v>46.146095717884123</v>
      </c>
      <c r="P24" s="45" t="s">
        <v>394</v>
      </c>
      <c r="Q24" s="12" t="s">
        <v>232</v>
      </c>
    </row>
    <row r="25" spans="1:17" ht="45" x14ac:dyDescent="0.2">
      <c r="A25" s="12" t="s">
        <v>31</v>
      </c>
      <c r="B25" s="12" t="s">
        <v>32</v>
      </c>
      <c r="C25" s="12" t="s">
        <v>56</v>
      </c>
      <c r="D25" s="12" t="s">
        <v>56</v>
      </c>
      <c r="E25" s="16" t="s">
        <v>132</v>
      </c>
      <c r="F25" s="14" t="s">
        <v>133</v>
      </c>
      <c r="G25" s="14" t="s">
        <v>154</v>
      </c>
      <c r="H25" s="12">
        <v>1000</v>
      </c>
      <c r="I25" s="13">
        <v>71.400000000000006</v>
      </c>
      <c r="J25" s="16" t="s">
        <v>231</v>
      </c>
      <c r="K25" s="17">
        <v>0</v>
      </c>
      <c r="L25" s="18">
        <f t="shared" si="0"/>
        <v>71.400000000000006</v>
      </c>
      <c r="M25" s="30">
        <v>0.21904761904761919</v>
      </c>
      <c r="N25" s="15">
        <v>55.7</v>
      </c>
      <c r="O25" s="19">
        <v>56.120906801007557</v>
      </c>
      <c r="P25" s="45" t="s">
        <v>394</v>
      </c>
      <c r="Q25" s="12" t="s">
        <v>232</v>
      </c>
    </row>
    <row r="26" spans="1:17" ht="45" x14ac:dyDescent="0.2">
      <c r="A26" s="12" t="s">
        <v>31</v>
      </c>
      <c r="B26" s="12" t="s">
        <v>32</v>
      </c>
      <c r="C26" s="12" t="s">
        <v>57</v>
      </c>
      <c r="D26" s="12" t="s">
        <v>57</v>
      </c>
      <c r="E26" s="16" t="s">
        <v>132</v>
      </c>
      <c r="F26" s="14" t="s">
        <v>155</v>
      </c>
      <c r="G26" s="14" t="s">
        <v>156</v>
      </c>
      <c r="H26" s="12">
        <v>200</v>
      </c>
      <c r="I26" s="13">
        <v>14.4</v>
      </c>
      <c r="J26" s="16" t="s">
        <v>231</v>
      </c>
      <c r="K26" s="17">
        <v>0</v>
      </c>
      <c r="L26" s="18">
        <f t="shared" si="0"/>
        <v>14.4</v>
      </c>
      <c r="M26" s="30">
        <v>0.11388888888888896</v>
      </c>
      <c r="N26" s="15">
        <v>12.7</v>
      </c>
      <c r="O26" s="19">
        <v>12.795969773299747</v>
      </c>
      <c r="P26" s="45" t="s">
        <v>394</v>
      </c>
      <c r="Q26" s="12" t="s">
        <v>232</v>
      </c>
    </row>
    <row r="27" spans="1:17" ht="45" x14ac:dyDescent="0.2">
      <c r="A27" s="12" t="s">
        <v>31</v>
      </c>
      <c r="B27" s="12" t="s">
        <v>32</v>
      </c>
      <c r="C27" s="12" t="s">
        <v>58</v>
      </c>
      <c r="D27" s="12" t="s">
        <v>58</v>
      </c>
      <c r="E27" s="16" t="s">
        <v>132</v>
      </c>
      <c r="F27" s="14" t="s">
        <v>155</v>
      </c>
      <c r="G27" s="14" t="s">
        <v>157</v>
      </c>
      <c r="H27" s="12">
        <v>500</v>
      </c>
      <c r="I27" s="13">
        <v>35.799999999999997</v>
      </c>
      <c r="J27" s="16" t="s">
        <v>231</v>
      </c>
      <c r="K27" s="17">
        <v>0</v>
      </c>
      <c r="L27" s="18">
        <f t="shared" si="0"/>
        <v>35.799999999999997</v>
      </c>
      <c r="M27" s="30">
        <v>0.11117318435754189</v>
      </c>
      <c r="N27" s="15">
        <v>31.8</v>
      </c>
      <c r="O27" s="19">
        <v>32.040302267002517</v>
      </c>
      <c r="P27" s="45" t="s">
        <v>394</v>
      </c>
      <c r="Q27" s="12" t="s">
        <v>232</v>
      </c>
    </row>
    <row r="28" spans="1:17" ht="45" x14ac:dyDescent="0.2">
      <c r="A28" s="12" t="s">
        <v>31</v>
      </c>
      <c r="B28" s="12" t="s">
        <v>32</v>
      </c>
      <c r="C28" s="12" t="s">
        <v>59</v>
      </c>
      <c r="D28" s="12" t="s">
        <v>59</v>
      </c>
      <c r="E28" s="16" t="s">
        <v>132</v>
      </c>
      <c r="F28" s="14" t="s">
        <v>155</v>
      </c>
      <c r="G28" s="14" t="s">
        <v>158</v>
      </c>
      <c r="H28" s="12">
        <v>500</v>
      </c>
      <c r="I28" s="13">
        <v>35.75</v>
      </c>
      <c r="J28" s="16" t="s">
        <v>231</v>
      </c>
      <c r="K28" s="17">
        <v>0</v>
      </c>
      <c r="L28" s="18">
        <f t="shared" si="0"/>
        <v>35.75</v>
      </c>
      <c r="M28" s="30">
        <v>0.10979020979020984</v>
      </c>
      <c r="N28" s="15">
        <v>31.8</v>
      </c>
      <c r="O28" s="19">
        <v>32.040302267002517</v>
      </c>
      <c r="P28" s="45" t="s">
        <v>394</v>
      </c>
      <c r="Q28" s="12" t="s">
        <v>232</v>
      </c>
    </row>
    <row r="29" spans="1:17" ht="45" x14ac:dyDescent="0.2">
      <c r="A29" s="12" t="s">
        <v>31</v>
      </c>
      <c r="B29" s="12" t="s">
        <v>32</v>
      </c>
      <c r="C29" s="12" t="s">
        <v>60</v>
      </c>
      <c r="D29" s="12" t="s">
        <v>60</v>
      </c>
      <c r="E29" s="16" t="s">
        <v>132</v>
      </c>
      <c r="F29" s="14" t="s">
        <v>155</v>
      </c>
      <c r="G29" s="14" t="s">
        <v>159</v>
      </c>
      <c r="H29" s="12">
        <v>1000</v>
      </c>
      <c r="I29" s="13">
        <v>66.599999999999994</v>
      </c>
      <c r="J29" s="16" t="s">
        <v>231</v>
      </c>
      <c r="K29" s="17">
        <v>0</v>
      </c>
      <c r="L29" s="18">
        <f t="shared" si="0"/>
        <v>66.599999999999994</v>
      </c>
      <c r="M29" s="30">
        <v>0.1085</v>
      </c>
      <c r="N29" s="15">
        <v>59.373899999999992</v>
      </c>
      <c r="O29" s="19">
        <v>59.822569269521402</v>
      </c>
      <c r="P29" s="45" t="s">
        <v>394</v>
      </c>
      <c r="Q29" s="12" t="s">
        <v>232</v>
      </c>
    </row>
    <row r="30" spans="1:17" ht="45" x14ac:dyDescent="0.2">
      <c r="A30" s="12" t="s">
        <v>31</v>
      </c>
      <c r="B30" s="12" t="s">
        <v>32</v>
      </c>
      <c r="C30" s="12" t="s">
        <v>61</v>
      </c>
      <c r="D30" s="12" t="s">
        <v>61</v>
      </c>
      <c r="E30" s="16" t="s">
        <v>132</v>
      </c>
      <c r="F30" s="14" t="s">
        <v>155</v>
      </c>
      <c r="G30" s="14" t="s">
        <v>159</v>
      </c>
      <c r="H30" s="12">
        <v>1000</v>
      </c>
      <c r="I30" s="13">
        <v>69.2</v>
      </c>
      <c r="J30" s="16" t="s">
        <v>231</v>
      </c>
      <c r="K30" s="17">
        <v>0</v>
      </c>
      <c r="L30" s="18">
        <f t="shared" si="0"/>
        <v>69.2</v>
      </c>
      <c r="M30" s="30">
        <v>0.20982658959537573</v>
      </c>
      <c r="N30" s="15">
        <v>54.6</v>
      </c>
      <c r="O30" s="19">
        <v>55.012594458438286</v>
      </c>
      <c r="P30" s="45" t="s">
        <v>394</v>
      </c>
      <c r="Q30" s="12" t="s">
        <v>232</v>
      </c>
    </row>
    <row r="31" spans="1:17" ht="45" x14ac:dyDescent="0.2">
      <c r="A31" s="12" t="s">
        <v>31</v>
      </c>
      <c r="B31" s="12" t="s">
        <v>32</v>
      </c>
      <c r="C31" s="12" t="s">
        <v>62</v>
      </c>
      <c r="D31" s="12" t="s">
        <v>62</v>
      </c>
      <c r="E31" s="16" t="s">
        <v>132</v>
      </c>
      <c r="F31" s="14" t="s">
        <v>155</v>
      </c>
      <c r="G31" s="14" t="s">
        <v>159</v>
      </c>
      <c r="H31" s="12">
        <v>1000</v>
      </c>
      <c r="I31" s="13">
        <v>71.599999999999994</v>
      </c>
      <c r="J31" s="16" t="s">
        <v>231</v>
      </c>
      <c r="K31" s="17">
        <v>0</v>
      </c>
      <c r="L31" s="18">
        <f t="shared" si="0"/>
        <v>71.599999999999994</v>
      </c>
      <c r="M31" s="30">
        <v>0.21033519553072613</v>
      </c>
      <c r="N31" s="15">
        <v>56.5</v>
      </c>
      <c r="O31" s="19">
        <v>56.926952141057932</v>
      </c>
      <c r="P31" s="45" t="s">
        <v>394</v>
      </c>
      <c r="Q31" s="12" t="s">
        <v>232</v>
      </c>
    </row>
    <row r="32" spans="1:17" ht="45" x14ac:dyDescent="0.2">
      <c r="A32" s="12" t="s">
        <v>31</v>
      </c>
      <c r="B32" s="12" t="s">
        <v>32</v>
      </c>
      <c r="C32" s="12" t="s">
        <v>63</v>
      </c>
      <c r="D32" s="12" t="s">
        <v>63</v>
      </c>
      <c r="E32" s="16" t="s">
        <v>132</v>
      </c>
      <c r="F32" s="14" t="s">
        <v>155</v>
      </c>
      <c r="G32" s="14" t="s">
        <v>159</v>
      </c>
      <c r="H32" s="12">
        <v>1000</v>
      </c>
      <c r="I32" s="13">
        <v>74.099999999999994</v>
      </c>
      <c r="J32" s="16" t="s">
        <v>231</v>
      </c>
      <c r="K32" s="17">
        <v>0</v>
      </c>
      <c r="L32" s="18">
        <f t="shared" si="0"/>
        <v>74.099999999999994</v>
      </c>
      <c r="M32" s="30">
        <v>0.21201079622132249</v>
      </c>
      <c r="N32" s="15">
        <v>58.3</v>
      </c>
      <c r="O32" s="19">
        <v>58.740554156171278</v>
      </c>
      <c r="P32" s="45" t="s">
        <v>394</v>
      </c>
      <c r="Q32" s="12" t="s">
        <v>232</v>
      </c>
    </row>
    <row r="33" spans="1:17" ht="45" x14ac:dyDescent="0.2">
      <c r="A33" s="12" t="s">
        <v>31</v>
      </c>
      <c r="B33" s="12" t="s">
        <v>32</v>
      </c>
      <c r="C33" s="12" t="s">
        <v>64</v>
      </c>
      <c r="D33" s="12" t="s">
        <v>64</v>
      </c>
      <c r="E33" s="16" t="s">
        <v>132</v>
      </c>
      <c r="F33" s="14" t="s">
        <v>155</v>
      </c>
      <c r="G33" s="14" t="s">
        <v>159</v>
      </c>
      <c r="H33" s="12">
        <v>1000</v>
      </c>
      <c r="I33" s="13">
        <v>79.400000000000006</v>
      </c>
      <c r="J33" s="16" t="s">
        <v>231</v>
      </c>
      <c r="K33" s="17">
        <v>0</v>
      </c>
      <c r="L33" s="18">
        <f t="shared" si="0"/>
        <v>79.400000000000006</v>
      </c>
      <c r="M33" s="30">
        <v>0.20831234256926959</v>
      </c>
      <c r="N33" s="15">
        <v>62.8</v>
      </c>
      <c r="O33" s="19">
        <v>63.274559193954651</v>
      </c>
      <c r="P33" s="45" t="s">
        <v>394</v>
      </c>
      <c r="Q33" s="12" t="s">
        <v>232</v>
      </c>
    </row>
    <row r="34" spans="1:17" ht="45" x14ac:dyDescent="0.2">
      <c r="A34" s="12" t="s">
        <v>31</v>
      </c>
      <c r="B34" s="12" t="s">
        <v>32</v>
      </c>
      <c r="C34" s="12" t="s">
        <v>65</v>
      </c>
      <c r="D34" s="12" t="s">
        <v>65</v>
      </c>
      <c r="E34" s="16" t="s">
        <v>132</v>
      </c>
      <c r="F34" s="14" t="s">
        <v>155</v>
      </c>
      <c r="G34" s="14" t="s">
        <v>159</v>
      </c>
      <c r="H34" s="12">
        <v>1000</v>
      </c>
      <c r="I34" s="13">
        <v>85.2</v>
      </c>
      <c r="J34" s="16" t="s">
        <v>231</v>
      </c>
      <c r="K34" s="17">
        <v>0</v>
      </c>
      <c r="L34" s="18">
        <f t="shared" si="0"/>
        <v>85.2</v>
      </c>
      <c r="M34" s="30">
        <v>0.21267605633802825</v>
      </c>
      <c r="N34" s="15">
        <v>67</v>
      </c>
      <c r="O34" s="19">
        <v>67.506297229219143</v>
      </c>
      <c r="P34" s="45" t="s">
        <v>394</v>
      </c>
      <c r="Q34" s="12" t="s">
        <v>232</v>
      </c>
    </row>
    <row r="35" spans="1:17" ht="45" x14ac:dyDescent="0.2">
      <c r="A35" s="12" t="s">
        <v>31</v>
      </c>
      <c r="B35" s="12" t="s">
        <v>32</v>
      </c>
      <c r="C35" s="12" t="s">
        <v>66</v>
      </c>
      <c r="D35" s="12" t="s">
        <v>66</v>
      </c>
      <c r="E35" s="16" t="s">
        <v>132</v>
      </c>
      <c r="F35" s="14" t="s">
        <v>155</v>
      </c>
      <c r="G35" s="14" t="s">
        <v>160</v>
      </c>
      <c r="H35" s="12">
        <v>1000</v>
      </c>
      <c r="I35" s="13">
        <v>89</v>
      </c>
      <c r="J35" s="16" t="s">
        <v>231</v>
      </c>
      <c r="K35" s="17">
        <v>0</v>
      </c>
      <c r="L35" s="18">
        <f t="shared" si="0"/>
        <v>89</v>
      </c>
      <c r="M35" s="30">
        <v>0.1085</v>
      </c>
      <c r="N35" s="15">
        <v>79.343500000000006</v>
      </c>
      <c r="O35" s="19">
        <v>79.943073047858945</v>
      </c>
      <c r="P35" s="45" t="s">
        <v>394</v>
      </c>
      <c r="Q35" s="12" t="s">
        <v>232</v>
      </c>
    </row>
    <row r="36" spans="1:17" ht="45" x14ac:dyDescent="0.2">
      <c r="A36" s="12" t="s">
        <v>31</v>
      </c>
      <c r="B36" s="12" t="s">
        <v>32</v>
      </c>
      <c r="C36" s="12" t="s">
        <v>67</v>
      </c>
      <c r="D36" s="12" t="s">
        <v>67</v>
      </c>
      <c r="E36" s="16" t="s">
        <v>132</v>
      </c>
      <c r="F36" s="14" t="s">
        <v>155</v>
      </c>
      <c r="G36" s="14" t="s">
        <v>160</v>
      </c>
      <c r="H36" s="12">
        <v>1000</v>
      </c>
      <c r="I36" s="13">
        <v>93.6</v>
      </c>
      <c r="J36" s="16" t="s">
        <v>231</v>
      </c>
      <c r="K36" s="17">
        <v>0</v>
      </c>
      <c r="L36" s="18">
        <f t="shared" si="0"/>
        <v>93.6</v>
      </c>
      <c r="M36" s="30">
        <v>0.21004273504273499</v>
      </c>
      <c r="N36" s="15">
        <v>73.900000000000006</v>
      </c>
      <c r="O36" s="19">
        <v>74.458438287153655</v>
      </c>
      <c r="P36" s="45" t="s">
        <v>394</v>
      </c>
      <c r="Q36" s="12" t="s">
        <v>232</v>
      </c>
    </row>
    <row r="37" spans="1:17" ht="45" x14ac:dyDescent="0.2">
      <c r="A37" s="12" t="s">
        <v>31</v>
      </c>
      <c r="B37" s="12" t="s">
        <v>32</v>
      </c>
      <c r="C37" s="12" t="s">
        <v>68</v>
      </c>
      <c r="D37" s="12" t="s">
        <v>68</v>
      </c>
      <c r="E37" s="16" t="s">
        <v>132</v>
      </c>
      <c r="F37" s="14" t="s">
        <v>155</v>
      </c>
      <c r="G37" s="14" t="s">
        <v>161</v>
      </c>
      <c r="H37" s="12">
        <v>1000</v>
      </c>
      <c r="I37" s="13">
        <v>71.5</v>
      </c>
      <c r="J37" s="16" t="s">
        <v>231</v>
      </c>
      <c r="K37" s="17">
        <v>0</v>
      </c>
      <c r="L37" s="18">
        <f t="shared" si="0"/>
        <v>71.5</v>
      </c>
      <c r="M37" s="30">
        <v>0.21188811188811188</v>
      </c>
      <c r="N37" s="15">
        <v>56.3</v>
      </c>
      <c r="O37" s="19">
        <v>56.725440806045334</v>
      </c>
      <c r="P37" s="45" t="s">
        <v>394</v>
      </c>
      <c r="Q37" s="12" t="s">
        <v>232</v>
      </c>
    </row>
    <row r="38" spans="1:17" ht="45" x14ac:dyDescent="0.2">
      <c r="A38" s="12" t="s">
        <v>31</v>
      </c>
      <c r="B38" s="12" t="s">
        <v>32</v>
      </c>
      <c r="C38" s="12" t="s">
        <v>69</v>
      </c>
      <c r="D38" s="12" t="s">
        <v>69</v>
      </c>
      <c r="E38" s="16" t="s">
        <v>132</v>
      </c>
      <c r="F38" s="14" t="s">
        <v>155</v>
      </c>
      <c r="G38" s="14" t="s">
        <v>162</v>
      </c>
      <c r="H38" s="12">
        <v>1000</v>
      </c>
      <c r="I38" s="13">
        <v>77</v>
      </c>
      <c r="J38" s="16" t="s">
        <v>231</v>
      </c>
      <c r="K38" s="17">
        <v>0</v>
      </c>
      <c r="L38" s="18">
        <f t="shared" si="0"/>
        <v>77</v>
      </c>
      <c r="M38" s="30">
        <v>0.21168831168831162</v>
      </c>
      <c r="N38" s="15">
        <v>60.70000000000001</v>
      </c>
      <c r="O38" s="19">
        <v>61.158690176322423</v>
      </c>
      <c r="P38" s="45" t="s">
        <v>394</v>
      </c>
      <c r="Q38" s="12" t="s">
        <v>232</v>
      </c>
    </row>
    <row r="39" spans="1:17" ht="45" x14ac:dyDescent="0.2">
      <c r="A39" s="12" t="s">
        <v>31</v>
      </c>
      <c r="B39" s="12" t="s">
        <v>32</v>
      </c>
      <c r="C39" s="12" t="s">
        <v>70</v>
      </c>
      <c r="D39" s="12" t="s">
        <v>70</v>
      </c>
      <c r="E39" s="16" t="s">
        <v>132</v>
      </c>
      <c r="F39" s="14" t="s">
        <v>155</v>
      </c>
      <c r="G39" s="14" t="s">
        <v>163</v>
      </c>
      <c r="H39" s="12">
        <v>1000</v>
      </c>
      <c r="I39" s="13">
        <v>90.7</v>
      </c>
      <c r="J39" s="16" t="s">
        <v>231</v>
      </c>
      <c r="K39" s="17">
        <v>0</v>
      </c>
      <c r="L39" s="18">
        <f t="shared" si="0"/>
        <v>90.7</v>
      </c>
      <c r="M39" s="30">
        <v>0.21245865490628449</v>
      </c>
      <c r="N39" s="15">
        <v>71.400000000000006</v>
      </c>
      <c r="O39" s="19">
        <v>71.939546599496225</v>
      </c>
      <c r="P39" s="45" t="s">
        <v>394</v>
      </c>
      <c r="Q39" s="12" t="s">
        <v>232</v>
      </c>
    </row>
    <row r="40" spans="1:17" ht="45" x14ac:dyDescent="0.2">
      <c r="A40" s="12" t="s">
        <v>31</v>
      </c>
      <c r="B40" s="12" t="s">
        <v>32</v>
      </c>
      <c r="C40" s="12" t="s">
        <v>71</v>
      </c>
      <c r="D40" s="12" t="s">
        <v>71</v>
      </c>
      <c r="E40" s="16" t="s">
        <v>132</v>
      </c>
      <c r="F40" s="14" t="s">
        <v>164</v>
      </c>
      <c r="G40" s="14" t="s">
        <v>165</v>
      </c>
      <c r="H40" s="12">
        <v>1000</v>
      </c>
      <c r="I40" s="13">
        <v>141</v>
      </c>
      <c r="J40" s="16" t="s">
        <v>231</v>
      </c>
      <c r="K40" s="17">
        <v>0</v>
      </c>
      <c r="L40" s="18">
        <f t="shared" si="0"/>
        <v>141</v>
      </c>
      <c r="M40" s="30">
        <v>0.10843971631205676</v>
      </c>
      <c r="N40" s="15">
        <v>125.7</v>
      </c>
      <c r="O40" s="19">
        <v>126.66</v>
      </c>
      <c r="P40" s="45" t="s">
        <v>394</v>
      </c>
      <c r="Q40" s="12" t="s">
        <v>232</v>
      </c>
    </row>
    <row r="41" spans="1:17" ht="45" x14ac:dyDescent="0.2">
      <c r="A41" s="12" t="s">
        <v>31</v>
      </c>
      <c r="B41" s="12" t="s">
        <v>32</v>
      </c>
      <c r="C41" s="12" t="s">
        <v>72</v>
      </c>
      <c r="D41" s="12" t="s">
        <v>72</v>
      </c>
      <c r="E41" s="16" t="s">
        <v>132</v>
      </c>
      <c r="F41" s="14" t="s">
        <v>166</v>
      </c>
      <c r="G41" s="14" t="s">
        <v>167</v>
      </c>
      <c r="H41" s="12">
        <v>1000</v>
      </c>
      <c r="I41" s="13">
        <v>58.5</v>
      </c>
      <c r="J41" s="16" t="s">
        <v>231</v>
      </c>
      <c r="K41" s="17">
        <v>0</v>
      </c>
      <c r="L41" s="18">
        <f t="shared" si="0"/>
        <v>58.5</v>
      </c>
      <c r="M41" s="30">
        <v>0.21794871794871798</v>
      </c>
      <c r="N41" s="15">
        <v>45.7</v>
      </c>
      <c r="O41" s="19">
        <v>46.045340050377831</v>
      </c>
      <c r="P41" s="45" t="s">
        <v>394</v>
      </c>
      <c r="Q41" s="12" t="s">
        <v>232</v>
      </c>
    </row>
    <row r="42" spans="1:17" ht="45" x14ac:dyDescent="0.2">
      <c r="A42" s="12" t="s">
        <v>31</v>
      </c>
      <c r="B42" s="12" t="s">
        <v>32</v>
      </c>
      <c r="C42" s="12" t="s">
        <v>73</v>
      </c>
      <c r="D42" s="12" t="s">
        <v>73</v>
      </c>
      <c r="E42" s="16" t="s">
        <v>132</v>
      </c>
      <c r="F42" s="14" t="s">
        <v>166</v>
      </c>
      <c r="G42" s="14" t="s">
        <v>168</v>
      </c>
      <c r="H42" s="12">
        <v>1000</v>
      </c>
      <c r="I42" s="13">
        <v>68.2</v>
      </c>
      <c r="J42" s="16" t="s">
        <v>231</v>
      </c>
      <c r="K42" s="17">
        <v>0</v>
      </c>
      <c r="L42" s="18">
        <f t="shared" si="0"/>
        <v>68.2</v>
      </c>
      <c r="M42" s="30">
        <v>0.22023460410557186</v>
      </c>
      <c r="N42" s="15">
        <v>53.1</v>
      </c>
      <c r="O42" s="19">
        <v>53.501259445843829</v>
      </c>
      <c r="P42" s="45" t="s">
        <v>394</v>
      </c>
      <c r="Q42" s="12" t="s">
        <v>232</v>
      </c>
    </row>
    <row r="43" spans="1:17" ht="45" x14ac:dyDescent="0.2">
      <c r="A43" s="12" t="s">
        <v>31</v>
      </c>
      <c r="B43" s="12" t="s">
        <v>32</v>
      </c>
      <c r="C43" s="12" t="s">
        <v>74</v>
      </c>
      <c r="D43" s="12" t="s">
        <v>74</v>
      </c>
      <c r="E43" s="16" t="s">
        <v>132</v>
      </c>
      <c r="F43" s="14" t="s">
        <v>169</v>
      </c>
      <c r="G43" s="14" t="s">
        <v>170</v>
      </c>
      <c r="H43" s="12">
        <v>1000</v>
      </c>
      <c r="I43" s="13">
        <v>58.8</v>
      </c>
      <c r="J43" s="16" t="s">
        <v>231</v>
      </c>
      <c r="K43" s="17">
        <v>0</v>
      </c>
      <c r="L43" s="18">
        <f t="shared" si="0"/>
        <v>58.8</v>
      </c>
      <c r="M43" s="30">
        <v>0.21224489795918358</v>
      </c>
      <c r="N43" s="15">
        <v>46.3</v>
      </c>
      <c r="O43" s="19">
        <v>46.649874055415609</v>
      </c>
      <c r="P43" s="45" t="s">
        <v>394</v>
      </c>
      <c r="Q43" s="12" t="s">
        <v>232</v>
      </c>
    </row>
    <row r="44" spans="1:17" ht="45" x14ac:dyDescent="0.2">
      <c r="A44" s="12" t="s">
        <v>31</v>
      </c>
      <c r="B44" s="12" t="s">
        <v>32</v>
      </c>
      <c r="C44" s="12" t="s">
        <v>75</v>
      </c>
      <c r="D44" s="12" t="s">
        <v>75</v>
      </c>
      <c r="E44" s="16" t="s">
        <v>132</v>
      </c>
      <c r="F44" s="14" t="s">
        <v>169</v>
      </c>
      <c r="G44" s="14" t="s">
        <v>171</v>
      </c>
      <c r="H44" s="12">
        <v>1000</v>
      </c>
      <c r="I44" s="13">
        <v>66.599999999999994</v>
      </c>
      <c r="J44" s="16" t="s">
        <v>231</v>
      </c>
      <c r="K44" s="17">
        <v>0</v>
      </c>
      <c r="L44" s="18">
        <f t="shared" si="0"/>
        <v>66.599999999999994</v>
      </c>
      <c r="M44" s="30">
        <v>0.10840840840840818</v>
      </c>
      <c r="N44" s="15">
        <v>59.3</v>
      </c>
      <c r="O44" s="19">
        <v>59.74811083123425</v>
      </c>
      <c r="P44" s="45" t="s">
        <v>394</v>
      </c>
      <c r="Q44" s="12" t="s">
        <v>232</v>
      </c>
    </row>
    <row r="45" spans="1:17" ht="45" x14ac:dyDescent="0.2">
      <c r="A45" s="12" t="s">
        <v>31</v>
      </c>
      <c r="B45" s="12" t="s">
        <v>32</v>
      </c>
      <c r="C45" s="12" t="s">
        <v>76</v>
      </c>
      <c r="D45" s="12" t="s">
        <v>76</v>
      </c>
      <c r="E45" s="16" t="s">
        <v>132</v>
      </c>
      <c r="F45" s="14" t="s">
        <v>169</v>
      </c>
      <c r="G45" s="14" t="s">
        <v>172</v>
      </c>
      <c r="H45" s="12">
        <v>1000</v>
      </c>
      <c r="I45" s="13">
        <v>69.2</v>
      </c>
      <c r="J45" s="16" t="s">
        <v>231</v>
      </c>
      <c r="K45" s="17">
        <v>0</v>
      </c>
      <c r="L45" s="18">
        <f t="shared" si="0"/>
        <v>69.2</v>
      </c>
      <c r="M45" s="30">
        <v>0.20982658959537573</v>
      </c>
      <c r="N45" s="15">
        <v>54.6</v>
      </c>
      <c r="O45" s="19">
        <v>55.012594458438286</v>
      </c>
      <c r="P45" s="45" t="s">
        <v>394</v>
      </c>
      <c r="Q45" s="12" t="s">
        <v>232</v>
      </c>
    </row>
    <row r="46" spans="1:17" ht="45" x14ac:dyDescent="0.2">
      <c r="A46" s="12" t="s">
        <v>31</v>
      </c>
      <c r="B46" s="12" t="s">
        <v>32</v>
      </c>
      <c r="C46" s="12" t="s">
        <v>77</v>
      </c>
      <c r="D46" s="12" t="s">
        <v>77</v>
      </c>
      <c r="E46" s="16" t="s">
        <v>132</v>
      </c>
      <c r="F46" s="14" t="s">
        <v>169</v>
      </c>
      <c r="G46" s="14" t="s">
        <v>173</v>
      </c>
      <c r="H46" s="12">
        <v>1000</v>
      </c>
      <c r="I46" s="13">
        <v>71.599999999999994</v>
      </c>
      <c r="J46" s="16" t="s">
        <v>231</v>
      </c>
      <c r="K46" s="17">
        <v>0</v>
      </c>
      <c r="L46" s="18">
        <f t="shared" si="0"/>
        <v>71.599999999999994</v>
      </c>
      <c r="M46" s="30">
        <v>0.20893854748603349</v>
      </c>
      <c r="N46" s="15">
        <v>56.6</v>
      </c>
      <c r="O46" s="19">
        <v>57.02770780856423</v>
      </c>
      <c r="P46" s="45" t="s">
        <v>394</v>
      </c>
      <c r="Q46" s="12" t="s">
        <v>232</v>
      </c>
    </row>
    <row r="47" spans="1:17" ht="45" x14ac:dyDescent="0.2">
      <c r="A47" s="12" t="s">
        <v>31</v>
      </c>
      <c r="B47" s="12" t="s">
        <v>32</v>
      </c>
      <c r="C47" s="12" t="s">
        <v>78</v>
      </c>
      <c r="D47" s="12" t="s">
        <v>78</v>
      </c>
      <c r="E47" s="16" t="s">
        <v>132</v>
      </c>
      <c r="F47" s="14" t="s">
        <v>169</v>
      </c>
      <c r="G47" s="14" t="s">
        <v>174</v>
      </c>
      <c r="H47" s="12">
        <v>1000</v>
      </c>
      <c r="I47" s="13">
        <v>74.099999999999994</v>
      </c>
      <c r="J47" s="16" t="s">
        <v>231</v>
      </c>
      <c r="K47" s="17">
        <v>0</v>
      </c>
      <c r="L47" s="18">
        <f t="shared" si="0"/>
        <v>74.099999999999994</v>
      </c>
      <c r="M47" s="30">
        <v>0.21201079622132249</v>
      </c>
      <c r="N47" s="15">
        <v>58.3</v>
      </c>
      <c r="O47" s="19">
        <v>58.740554156171278</v>
      </c>
      <c r="P47" s="45" t="s">
        <v>394</v>
      </c>
      <c r="Q47" s="12" t="s">
        <v>232</v>
      </c>
    </row>
    <row r="48" spans="1:17" ht="45" x14ac:dyDescent="0.2">
      <c r="A48" s="12" t="s">
        <v>31</v>
      </c>
      <c r="B48" s="12" t="s">
        <v>32</v>
      </c>
      <c r="C48" s="12" t="s">
        <v>79</v>
      </c>
      <c r="D48" s="12" t="s">
        <v>79</v>
      </c>
      <c r="E48" s="16" t="s">
        <v>132</v>
      </c>
      <c r="F48" s="14" t="s">
        <v>169</v>
      </c>
      <c r="G48" s="14" t="s">
        <v>175</v>
      </c>
      <c r="H48" s="12">
        <v>1000</v>
      </c>
      <c r="I48" s="13">
        <v>79.400000000000006</v>
      </c>
      <c r="J48" s="16" t="s">
        <v>231</v>
      </c>
      <c r="K48" s="17">
        <v>0</v>
      </c>
      <c r="L48" s="18">
        <f t="shared" si="0"/>
        <v>79.400000000000006</v>
      </c>
      <c r="M48" s="30">
        <v>0.20831234256926959</v>
      </c>
      <c r="N48" s="15">
        <v>62.8</v>
      </c>
      <c r="O48" s="19">
        <v>63.274559193954651</v>
      </c>
      <c r="P48" s="45" t="s">
        <v>394</v>
      </c>
      <c r="Q48" s="12" t="s">
        <v>232</v>
      </c>
    </row>
    <row r="49" spans="1:17" ht="45" x14ac:dyDescent="0.2">
      <c r="A49" s="12" t="s">
        <v>31</v>
      </c>
      <c r="B49" s="12" t="s">
        <v>32</v>
      </c>
      <c r="C49" s="12" t="s">
        <v>80</v>
      </c>
      <c r="D49" s="12" t="s">
        <v>80</v>
      </c>
      <c r="E49" s="16" t="s">
        <v>132</v>
      </c>
      <c r="F49" s="14" t="s">
        <v>169</v>
      </c>
      <c r="G49" s="14" t="s">
        <v>176</v>
      </c>
      <c r="H49" s="12">
        <v>1000</v>
      </c>
      <c r="I49" s="13">
        <v>85.2</v>
      </c>
      <c r="J49" s="16" t="s">
        <v>231</v>
      </c>
      <c r="K49" s="17">
        <v>0</v>
      </c>
      <c r="L49" s="18">
        <f t="shared" si="0"/>
        <v>85.2</v>
      </c>
      <c r="M49" s="30">
        <v>0.21267605633802825</v>
      </c>
      <c r="N49" s="15">
        <v>67</v>
      </c>
      <c r="O49" s="19">
        <v>67.506297229219143</v>
      </c>
      <c r="P49" s="45" t="s">
        <v>394</v>
      </c>
      <c r="Q49" s="12" t="s">
        <v>232</v>
      </c>
    </row>
    <row r="50" spans="1:17" ht="45" x14ac:dyDescent="0.2">
      <c r="A50" s="12" t="s">
        <v>31</v>
      </c>
      <c r="B50" s="12" t="s">
        <v>32</v>
      </c>
      <c r="C50" s="12" t="s">
        <v>81</v>
      </c>
      <c r="D50" s="12" t="s">
        <v>81</v>
      </c>
      <c r="E50" s="16" t="s">
        <v>132</v>
      </c>
      <c r="F50" s="14" t="s">
        <v>169</v>
      </c>
      <c r="G50" s="14" t="s">
        <v>177</v>
      </c>
      <c r="H50" s="12">
        <v>1000</v>
      </c>
      <c r="I50" s="13">
        <v>89</v>
      </c>
      <c r="J50" s="16" t="s">
        <v>231</v>
      </c>
      <c r="K50" s="17">
        <v>0</v>
      </c>
      <c r="L50" s="18">
        <f t="shared" si="0"/>
        <v>89</v>
      </c>
      <c r="M50" s="30">
        <v>0.1084269662921348</v>
      </c>
      <c r="N50" s="15">
        <v>79.3</v>
      </c>
      <c r="O50" s="19">
        <v>79.899244332493694</v>
      </c>
      <c r="P50" s="45" t="s">
        <v>394</v>
      </c>
      <c r="Q50" s="12" t="s">
        <v>232</v>
      </c>
    </row>
    <row r="51" spans="1:17" ht="45" x14ac:dyDescent="0.2">
      <c r="A51" s="12" t="s">
        <v>31</v>
      </c>
      <c r="B51" s="12" t="s">
        <v>32</v>
      </c>
      <c r="C51" s="12" t="s">
        <v>82</v>
      </c>
      <c r="D51" s="12" t="s">
        <v>82</v>
      </c>
      <c r="E51" s="16" t="s">
        <v>132</v>
      </c>
      <c r="F51" s="14" t="s">
        <v>169</v>
      </c>
      <c r="G51" s="14" t="s">
        <v>178</v>
      </c>
      <c r="H51" s="12">
        <v>1000</v>
      </c>
      <c r="I51" s="13">
        <v>93.6</v>
      </c>
      <c r="J51" s="16" t="s">
        <v>231</v>
      </c>
      <c r="K51" s="17">
        <v>0</v>
      </c>
      <c r="L51" s="18">
        <f t="shared" si="0"/>
        <v>93.6</v>
      </c>
      <c r="M51" s="30">
        <v>0.20897435897435881</v>
      </c>
      <c r="N51" s="15">
        <v>74</v>
      </c>
      <c r="O51" s="19">
        <v>74.559193954659946</v>
      </c>
      <c r="P51" s="45" t="s">
        <v>394</v>
      </c>
      <c r="Q51" s="12" t="s">
        <v>232</v>
      </c>
    </row>
    <row r="52" spans="1:17" ht="45" x14ac:dyDescent="0.2">
      <c r="A52" s="12" t="s">
        <v>31</v>
      </c>
      <c r="B52" s="12" t="s">
        <v>32</v>
      </c>
      <c r="C52" s="12" t="s">
        <v>83</v>
      </c>
      <c r="D52" s="12" t="s">
        <v>83</v>
      </c>
      <c r="E52" s="16" t="s">
        <v>132</v>
      </c>
      <c r="F52" s="14" t="s">
        <v>169</v>
      </c>
      <c r="G52" s="14" t="s">
        <v>179</v>
      </c>
      <c r="H52" s="12">
        <v>1000</v>
      </c>
      <c r="I52" s="13">
        <v>57.1</v>
      </c>
      <c r="J52" s="16" t="s">
        <v>231</v>
      </c>
      <c r="K52" s="17">
        <v>0</v>
      </c>
      <c r="L52" s="18">
        <f t="shared" si="0"/>
        <v>57.1</v>
      </c>
      <c r="M52" s="30">
        <v>0.21033274956217166</v>
      </c>
      <c r="N52" s="15">
        <v>45</v>
      </c>
      <c r="O52" s="19">
        <v>45.340050377833748</v>
      </c>
      <c r="P52" s="45" t="s">
        <v>394</v>
      </c>
      <c r="Q52" s="12" t="s">
        <v>232</v>
      </c>
    </row>
    <row r="53" spans="1:17" ht="45" x14ac:dyDescent="0.2">
      <c r="A53" s="12" t="s">
        <v>31</v>
      </c>
      <c r="B53" s="12" t="s">
        <v>32</v>
      </c>
      <c r="C53" s="12" t="s">
        <v>84</v>
      </c>
      <c r="D53" s="12" t="s">
        <v>84</v>
      </c>
      <c r="E53" s="16" t="s">
        <v>132</v>
      </c>
      <c r="F53" s="14" t="s">
        <v>169</v>
      </c>
      <c r="G53" s="14" t="s">
        <v>180</v>
      </c>
      <c r="H53" s="12">
        <v>1000</v>
      </c>
      <c r="I53" s="13">
        <v>71.5</v>
      </c>
      <c r="J53" s="16" t="s">
        <v>231</v>
      </c>
      <c r="K53" s="17">
        <v>0</v>
      </c>
      <c r="L53" s="18">
        <f t="shared" si="0"/>
        <v>71.5</v>
      </c>
      <c r="M53" s="30">
        <v>0.21048951048951051</v>
      </c>
      <c r="N53" s="15">
        <v>56.4</v>
      </c>
      <c r="O53" s="19">
        <v>56.826196473551633</v>
      </c>
      <c r="P53" s="45" t="s">
        <v>394</v>
      </c>
      <c r="Q53" s="12" t="s">
        <v>232</v>
      </c>
    </row>
    <row r="54" spans="1:17" ht="45" x14ac:dyDescent="0.2">
      <c r="A54" s="12" t="s">
        <v>31</v>
      </c>
      <c r="B54" s="12" t="s">
        <v>32</v>
      </c>
      <c r="C54" s="12" t="s">
        <v>85</v>
      </c>
      <c r="D54" s="12" t="s">
        <v>85</v>
      </c>
      <c r="E54" s="16" t="s">
        <v>132</v>
      </c>
      <c r="F54" s="14" t="s">
        <v>169</v>
      </c>
      <c r="G54" s="14" t="s">
        <v>181</v>
      </c>
      <c r="H54" s="12">
        <v>1000</v>
      </c>
      <c r="I54" s="13">
        <v>77</v>
      </c>
      <c r="J54" s="16" t="s">
        <v>231</v>
      </c>
      <c r="K54" s="17">
        <v>0</v>
      </c>
      <c r="L54" s="18">
        <f t="shared" si="0"/>
        <v>77</v>
      </c>
      <c r="M54" s="30">
        <v>0.21168831168831162</v>
      </c>
      <c r="N54" s="15">
        <v>60.70000000000001</v>
      </c>
      <c r="O54" s="19">
        <v>61.158690176322423</v>
      </c>
      <c r="P54" s="45" t="s">
        <v>394</v>
      </c>
      <c r="Q54" s="12" t="s">
        <v>232</v>
      </c>
    </row>
    <row r="55" spans="1:17" ht="45" x14ac:dyDescent="0.2">
      <c r="A55" s="12" t="s">
        <v>31</v>
      </c>
      <c r="B55" s="12" t="s">
        <v>32</v>
      </c>
      <c r="C55" s="12" t="s">
        <v>86</v>
      </c>
      <c r="D55" s="12" t="s">
        <v>86</v>
      </c>
      <c r="E55" s="16" t="s">
        <v>132</v>
      </c>
      <c r="F55" s="14" t="s">
        <v>169</v>
      </c>
      <c r="G55" s="14" t="s">
        <v>182</v>
      </c>
      <c r="H55" s="12">
        <v>1000</v>
      </c>
      <c r="I55" s="13">
        <v>90.7</v>
      </c>
      <c r="J55" s="16" t="s">
        <v>231</v>
      </c>
      <c r="K55" s="17">
        <v>0</v>
      </c>
      <c r="L55" s="18">
        <f t="shared" si="0"/>
        <v>90.7</v>
      </c>
      <c r="M55" s="30">
        <v>0.21245865490628449</v>
      </c>
      <c r="N55" s="15">
        <v>71.400000000000006</v>
      </c>
      <c r="O55" s="19">
        <v>71.939546599496225</v>
      </c>
      <c r="P55" s="45" t="s">
        <v>394</v>
      </c>
      <c r="Q55" s="12" t="s">
        <v>232</v>
      </c>
    </row>
    <row r="56" spans="1:17" ht="45" x14ac:dyDescent="0.2">
      <c r="A56" s="12" t="s">
        <v>31</v>
      </c>
      <c r="B56" s="12" t="s">
        <v>32</v>
      </c>
      <c r="C56" s="12" t="s">
        <v>87</v>
      </c>
      <c r="D56" s="12" t="s">
        <v>87</v>
      </c>
      <c r="E56" s="16" t="s">
        <v>132</v>
      </c>
      <c r="F56" s="14" t="s">
        <v>183</v>
      </c>
      <c r="G56" s="14" t="s">
        <v>184</v>
      </c>
      <c r="H56" s="12">
        <v>1000</v>
      </c>
      <c r="I56" s="13">
        <v>76.599999999999994</v>
      </c>
      <c r="J56" s="16" t="s">
        <v>231</v>
      </c>
      <c r="K56" s="17">
        <v>0</v>
      </c>
      <c r="L56" s="18">
        <f t="shared" si="0"/>
        <v>76.599999999999994</v>
      </c>
      <c r="M56" s="30">
        <v>0.20052219321148815</v>
      </c>
      <c r="N56" s="15">
        <v>61.2</v>
      </c>
      <c r="O56" s="19">
        <v>61.662468513853902</v>
      </c>
      <c r="P56" s="45" t="s">
        <v>394</v>
      </c>
      <c r="Q56" s="12" t="s">
        <v>232</v>
      </c>
    </row>
    <row r="57" spans="1:17" ht="45" x14ac:dyDescent="0.2">
      <c r="A57" s="12" t="s">
        <v>31</v>
      </c>
      <c r="B57" s="12" t="s">
        <v>32</v>
      </c>
      <c r="C57" s="12" t="s">
        <v>88</v>
      </c>
      <c r="D57" s="12" t="s">
        <v>88</v>
      </c>
      <c r="E57" s="16" t="s">
        <v>132</v>
      </c>
      <c r="F57" s="14" t="s">
        <v>183</v>
      </c>
      <c r="G57" s="14" t="s">
        <v>185</v>
      </c>
      <c r="H57" s="12">
        <v>1000</v>
      </c>
      <c r="I57" s="13">
        <v>79.2</v>
      </c>
      <c r="J57" s="16" t="s">
        <v>231</v>
      </c>
      <c r="K57" s="17">
        <v>0</v>
      </c>
      <c r="L57" s="18">
        <f t="shared" si="0"/>
        <v>79.2</v>
      </c>
      <c r="M57" s="30">
        <v>0.19722222222222222</v>
      </c>
      <c r="N57" s="15">
        <v>63.5</v>
      </c>
      <c r="O57" s="19">
        <v>63.979848866498735</v>
      </c>
      <c r="P57" s="45" t="s">
        <v>394</v>
      </c>
      <c r="Q57" s="12" t="s">
        <v>232</v>
      </c>
    </row>
    <row r="58" spans="1:17" ht="45" x14ac:dyDescent="0.2">
      <c r="A58" s="12" t="s">
        <v>31</v>
      </c>
      <c r="B58" s="12" t="s">
        <v>32</v>
      </c>
      <c r="C58" s="12" t="s">
        <v>89</v>
      </c>
      <c r="D58" s="12" t="s">
        <v>89</v>
      </c>
      <c r="E58" s="16" t="s">
        <v>132</v>
      </c>
      <c r="F58" s="14" t="s">
        <v>183</v>
      </c>
      <c r="G58" s="14" t="s">
        <v>186</v>
      </c>
      <c r="H58" s="12">
        <v>1000</v>
      </c>
      <c r="I58" s="13">
        <v>81.599999999999994</v>
      </c>
      <c r="J58" s="16" t="s">
        <v>231</v>
      </c>
      <c r="K58" s="17">
        <v>0</v>
      </c>
      <c r="L58" s="18">
        <f t="shared" si="0"/>
        <v>81.599999999999994</v>
      </c>
      <c r="M58" s="30">
        <v>0.19681372549019596</v>
      </c>
      <c r="N58" s="15">
        <v>65.5</v>
      </c>
      <c r="O58" s="19">
        <v>65.994962216624685</v>
      </c>
      <c r="P58" s="45" t="s">
        <v>394</v>
      </c>
      <c r="Q58" s="12" t="s">
        <v>232</v>
      </c>
    </row>
    <row r="59" spans="1:17" ht="45" x14ac:dyDescent="0.2">
      <c r="A59" s="12" t="s">
        <v>31</v>
      </c>
      <c r="B59" s="12" t="s">
        <v>32</v>
      </c>
      <c r="C59" s="12" t="s">
        <v>90</v>
      </c>
      <c r="D59" s="12" t="s">
        <v>90</v>
      </c>
      <c r="E59" s="16" t="s">
        <v>132</v>
      </c>
      <c r="F59" s="14" t="s">
        <v>183</v>
      </c>
      <c r="G59" s="14" t="s">
        <v>187</v>
      </c>
      <c r="H59" s="12">
        <v>1000</v>
      </c>
      <c r="I59" s="13">
        <v>84.1</v>
      </c>
      <c r="J59" s="16" t="s">
        <v>231</v>
      </c>
      <c r="K59" s="17">
        <v>0</v>
      </c>
      <c r="L59" s="18">
        <f t="shared" si="0"/>
        <v>84.1</v>
      </c>
      <c r="M59" s="30">
        <v>0.19988109393579059</v>
      </c>
      <c r="N59" s="15">
        <v>67.2</v>
      </c>
      <c r="O59" s="19">
        <v>67.70780856423174</v>
      </c>
      <c r="P59" s="45" t="s">
        <v>394</v>
      </c>
      <c r="Q59" s="12" t="s">
        <v>232</v>
      </c>
    </row>
    <row r="60" spans="1:17" ht="45" x14ac:dyDescent="0.2">
      <c r="A60" s="12" t="s">
        <v>31</v>
      </c>
      <c r="B60" s="12" t="s">
        <v>32</v>
      </c>
      <c r="C60" s="12" t="s">
        <v>91</v>
      </c>
      <c r="D60" s="12" t="s">
        <v>91</v>
      </c>
      <c r="E60" s="16" t="s">
        <v>132</v>
      </c>
      <c r="F60" s="14" t="s">
        <v>183</v>
      </c>
      <c r="G60" s="14" t="s">
        <v>188</v>
      </c>
      <c r="H60" s="12">
        <v>1000</v>
      </c>
      <c r="I60" s="13">
        <v>89.4</v>
      </c>
      <c r="J60" s="16" t="s">
        <v>231</v>
      </c>
      <c r="K60" s="17">
        <v>0</v>
      </c>
      <c r="L60" s="18">
        <f t="shared" si="0"/>
        <v>89.4</v>
      </c>
      <c r="M60" s="30">
        <v>0.19731543624161077</v>
      </c>
      <c r="N60" s="15">
        <v>71.7</v>
      </c>
      <c r="O60" s="19">
        <v>72.241813602015114</v>
      </c>
      <c r="P60" s="45" t="s">
        <v>394</v>
      </c>
      <c r="Q60" s="12" t="s">
        <v>232</v>
      </c>
    </row>
    <row r="61" spans="1:17" ht="45" x14ac:dyDescent="0.2">
      <c r="A61" s="12" t="s">
        <v>31</v>
      </c>
      <c r="B61" s="12" t="s">
        <v>32</v>
      </c>
      <c r="C61" s="12" t="s">
        <v>92</v>
      </c>
      <c r="D61" s="12" t="s">
        <v>92</v>
      </c>
      <c r="E61" s="16" t="s">
        <v>132</v>
      </c>
      <c r="F61" s="14" t="s">
        <v>183</v>
      </c>
      <c r="G61" s="14" t="s">
        <v>189</v>
      </c>
      <c r="H61" s="12">
        <v>1000</v>
      </c>
      <c r="I61" s="13">
        <v>95.2</v>
      </c>
      <c r="J61" s="16" t="s">
        <v>231</v>
      </c>
      <c r="K61" s="17">
        <v>0</v>
      </c>
      <c r="L61" s="18">
        <f t="shared" si="0"/>
        <v>95.2</v>
      </c>
      <c r="M61" s="30">
        <v>0.20084033613445387</v>
      </c>
      <c r="N61" s="15">
        <v>76</v>
      </c>
      <c r="O61" s="19">
        <v>76.57430730478589</v>
      </c>
      <c r="P61" s="45" t="s">
        <v>394</v>
      </c>
      <c r="Q61" s="12" t="s">
        <v>232</v>
      </c>
    </row>
    <row r="62" spans="1:17" ht="45" x14ac:dyDescent="0.2">
      <c r="A62" s="12" t="s">
        <v>31</v>
      </c>
      <c r="B62" s="12" t="s">
        <v>32</v>
      </c>
      <c r="C62" s="12" t="s">
        <v>93</v>
      </c>
      <c r="D62" s="12" t="s">
        <v>93</v>
      </c>
      <c r="E62" s="16" t="s">
        <v>132</v>
      </c>
      <c r="F62" s="14" t="s">
        <v>183</v>
      </c>
      <c r="G62" s="14" t="s">
        <v>190</v>
      </c>
      <c r="H62" s="12">
        <v>1000</v>
      </c>
      <c r="I62" s="13">
        <v>99</v>
      </c>
      <c r="J62" s="16" t="s">
        <v>231</v>
      </c>
      <c r="K62" s="17">
        <v>0</v>
      </c>
      <c r="L62" s="18">
        <f t="shared" si="0"/>
        <v>99</v>
      </c>
      <c r="M62" s="30">
        <v>0.10848484848484855</v>
      </c>
      <c r="N62" s="15">
        <v>88.2</v>
      </c>
      <c r="O62" s="19">
        <v>88.86649874055415</v>
      </c>
      <c r="P62" s="45" t="s">
        <v>394</v>
      </c>
      <c r="Q62" s="12" t="s">
        <v>232</v>
      </c>
    </row>
    <row r="63" spans="1:17" ht="45" x14ac:dyDescent="0.2">
      <c r="A63" s="12" t="s">
        <v>31</v>
      </c>
      <c r="B63" s="12" t="s">
        <v>32</v>
      </c>
      <c r="C63" s="12" t="s">
        <v>94</v>
      </c>
      <c r="D63" s="12" t="s">
        <v>94</v>
      </c>
      <c r="E63" s="16" t="s">
        <v>132</v>
      </c>
      <c r="F63" s="14" t="s">
        <v>183</v>
      </c>
      <c r="G63" s="14" t="s">
        <v>191</v>
      </c>
      <c r="H63" s="12">
        <v>1000</v>
      </c>
      <c r="I63" s="13">
        <v>103.6</v>
      </c>
      <c r="J63" s="16" t="s">
        <v>231</v>
      </c>
      <c r="K63" s="17">
        <v>0</v>
      </c>
      <c r="L63" s="18">
        <f t="shared" si="0"/>
        <v>103.6</v>
      </c>
      <c r="M63" s="30">
        <v>0.2003861003861003</v>
      </c>
      <c r="N63" s="15">
        <v>82.8</v>
      </c>
      <c r="O63" s="19">
        <v>83.425692695214096</v>
      </c>
      <c r="P63" s="45" t="s">
        <v>394</v>
      </c>
      <c r="Q63" s="12" t="s">
        <v>232</v>
      </c>
    </row>
    <row r="64" spans="1:17" ht="45" x14ac:dyDescent="0.2">
      <c r="A64" s="12" t="s">
        <v>31</v>
      </c>
      <c r="B64" s="12" t="s">
        <v>32</v>
      </c>
      <c r="C64" s="12" t="s">
        <v>95</v>
      </c>
      <c r="D64" s="12" t="s">
        <v>95</v>
      </c>
      <c r="E64" s="16" t="s">
        <v>132</v>
      </c>
      <c r="F64" s="14" t="s">
        <v>183</v>
      </c>
      <c r="G64" s="14" t="s">
        <v>192</v>
      </c>
      <c r="H64" s="12">
        <v>1000</v>
      </c>
      <c r="I64" s="13">
        <v>81.5</v>
      </c>
      <c r="J64" s="16" t="s">
        <v>231</v>
      </c>
      <c r="K64" s="17">
        <v>0</v>
      </c>
      <c r="L64" s="18">
        <f t="shared" si="0"/>
        <v>81.5</v>
      </c>
      <c r="M64" s="30">
        <v>0.19938650306748465</v>
      </c>
      <c r="N64" s="15">
        <v>65.2</v>
      </c>
      <c r="O64" s="19">
        <v>65.692695214105797</v>
      </c>
      <c r="P64" s="45" t="s">
        <v>394</v>
      </c>
      <c r="Q64" s="12" t="s">
        <v>232</v>
      </c>
    </row>
    <row r="65" spans="1:17" ht="45" x14ac:dyDescent="0.2">
      <c r="A65" s="12" t="s">
        <v>31</v>
      </c>
      <c r="B65" s="12" t="s">
        <v>32</v>
      </c>
      <c r="C65" s="12" t="s">
        <v>96</v>
      </c>
      <c r="D65" s="12" t="s">
        <v>96</v>
      </c>
      <c r="E65" s="16" t="s">
        <v>132</v>
      </c>
      <c r="F65" s="14" t="s">
        <v>183</v>
      </c>
      <c r="G65" s="14" t="s">
        <v>193</v>
      </c>
      <c r="H65" s="12">
        <v>1000</v>
      </c>
      <c r="I65" s="13">
        <v>87</v>
      </c>
      <c r="J65" s="16" t="s">
        <v>231</v>
      </c>
      <c r="K65" s="17">
        <v>0</v>
      </c>
      <c r="L65" s="18">
        <f t="shared" si="0"/>
        <v>87</v>
      </c>
      <c r="M65" s="30">
        <v>0.19999999999999998</v>
      </c>
      <c r="N65" s="15">
        <v>69.600000000000009</v>
      </c>
      <c r="O65" s="19">
        <v>70.125944584382879</v>
      </c>
      <c r="P65" s="45" t="s">
        <v>394</v>
      </c>
      <c r="Q65" s="12" t="s">
        <v>232</v>
      </c>
    </row>
    <row r="66" spans="1:17" ht="45" x14ac:dyDescent="0.2">
      <c r="A66" s="12" t="s">
        <v>31</v>
      </c>
      <c r="B66" s="12" t="s">
        <v>32</v>
      </c>
      <c r="C66" s="12" t="s">
        <v>97</v>
      </c>
      <c r="D66" s="12" t="s">
        <v>97</v>
      </c>
      <c r="E66" s="16" t="s">
        <v>132</v>
      </c>
      <c r="F66" s="14" t="s">
        <v>183</v>
      </c>
      <c r="G66" s="14" t="s">
        <v>194</v>
      </c>
      <c r="H66" s="12">
        <v>1000</v>
      </c>
      <c r="I66" s="13">
        <v>100.7</v>
      </c>
      <c r="J66" s="16" t="s">
        <v>231</v>
      </c>
      <c r="K66" s="17">
        <v>0</v>
      </c>
      <c r="L66" s="18">
        <f t="shared" si="0"/>
        <v>100.7</v>
      </c>
      <c r="M66" s="30">
        <v>0.20228401191658388</v>
      </c>
      <c r="N66" s="15">
        <v>80.3</v>
      </c>
      <c r="O66" s="19">
        <v>80.906801007556666</v>
      </c>
      <c r="P66" s="45" t="s">
        <v>394</v>
      </c>
      <c r="Q66" s="12" t="s">
        <v>232</v>
      </c>
    </row>
    <row r="67" spans="1:17" ht="45" x14ac:dyDescent="0.2">
      <c r="A67" s="12" t="s">
        <v>31</v>
      </c>
      <c r="B67" s="12" t="s">
        <v>32</v>
      </c>
      <c r="C67" s="12" t="s">
        <v>98</v>
      </c>
      <c r="D67" s="12" t="s">
        <v>98</v>
      </c>
      <c r="E67" s="16" t="s">
        <v>132</v>
      </c>
      <c r="F67" s="14" t="s">
        <v>195</v>
      </c>
      <c r="G67" s="14" t="s">
        <v>196</v>
      </c>
      <c r="H67" s="12">
        <v>1000</v>
      </c>
      <c r="I67" s="13">
        <v>172.3</v>
      </c>
      <c r="J67" s="16" t="s">
        <v>231</v>
      </c>
      <c r="K67" s="17">
        <v>0</v>
      </c>
      <c r="L67" s="18">
        <f t="shared" si="0"/>
        <v>172.3</v>
      </c>
      <c r="M67" s="30">
        <v>0.18995937318630299</v>
      </c>
      <c r="N67" s="15">
        <v>139.5</v>
      </c>
      <c r="O67" s="19">
        <v>140.55415617128463</v>
      </c>
      <c r="P67" s="45" t="s">
        <v>394</v>
      </c>
      <c r="Q67" s="12" t="s">
        <v>232</v>
      </c>
    </row>
    <row r="68" spans="1:17" ht="45" x14ac:dyDescent="0.2">
      <c r="A68" s="12" t="s">
        <v>31</v>
      </c>
      <c r="B68" s="12" t="s">
        <v>32</v>
      </c>
      <c r="C68" s="12" t="s">
        <v>99</v>
      </c>
      <c r="D68" s="12" t="s">
        <v>99</v>
      </c>
      <c r="E68" s="16" t="s">
        <v>132</v>
      </c>
      <c r="F68" s="14" t="s">
        <v>197</v>
      </c>
      <c r="G68" s="14" t="s">
        <v>198</v>
      </c>
      <c r="H68" s="12">
        <v>1000</v>
      </c>
      <c r="I68" s="13">
        <v>69.2</v>
      </c>
      <c r="J68" s="16" t="s">
        <v>231</v>
      </c>
      <c r="K68" s="17">
        <v>0</v>
      </c>
      <c r="L68" s="18">
        <f t="shared" si="0"/>
        <v>69.2</v>
      </c>
      <c r="M68" s="30">
        <v>0.20982658959537573</v>
      </c>
      <c r="N68" s="15">
        <v>54.6</v>
      </c>
      <c r="O68" s="19">
        <v>55.012594458438286</v>
      </c>
      <c r="P68" s="45" t="s">
        <v>394</v>
      </c>
      <c r="Q68" s="12" t="s">
        <v>232</v>
      </c>
    </row>
    <row r="69" spans="1:17" ht="45" x14ac:dyDescent="0.2">
      <c r="A69" s="12" t="s">
        <v>31</v>
      </c>
      <c r="B69" s="12" t="s">
        <v>32</v>
      </c>
      <c r="C69" s="12" t="s">
        <v>100</v>
      </c>
      <c r="D69" s="12" t="s">
        <v>100</v>
      </c>
      <c r="E69" s="16" t="s">
        <v>132</v>
      </c>
      <c r="F69" s="14" t="s">
        <v>197</v>
      </c>
      <c r="G69" s="14" t="s">
        <v>199</v>
      </c>
      <c r="H69" s="12">
        <v>1000</v>
      </c>
      <c r="I69" s="13">
        <v>81.599999999999994</v>
      </c>
      <c r="J69" s="16" t="s">
        <v>231</v>
      </c>
      <c r="K69" s="17">
        <v>0</v>
      </c>
      <c r="L69" s="18">
        <f t="shared" si="0"/>
        <v>81.599999999999994</v>
      </c>
      <c r="M69" s="30">
        <v>0.1980392156862745</v>
      </c>
      <c r="N69" s="15">
        <v>65.400000000000006</v>
      </c>
      <c r="O69" s="19">
        <v>65.894206549118394</v>
      </c>
      <c r="P69" s="45" t="s">
        <v>394</v>
      </c>
      <c r="Q69" s="12" t="s">
        <v>232</v>
      </c>
    </row>
    <row r="70" spans="1:17" ht="45" x14ac:dyDescent="0.2">
      <c r="A70" s="12" t="s">
        <v>31</v>
      </c>
      <c r="B70" s="12" t="s">
        <v>32</v>
      </c>
      <c r="C70" s="12" t="s">
        <v>101</v>
      </c>
      <c r="D70" s="12" t="s">
        <v>101</v>
      </c>
      <c r="E70" s="16" t="s">
        <v>132</v>
      </c>
      <c r="F70" s="14" t="s">
        <v>197</v>
      </c>
      <c r="G70" s="14" t="s">
        <v>200</v>
      </c>
      <c r="H70" s="12">
        <v>1000</v>
      </c>
      <c r="I70" s="13">
        <v>74.099999999999994</v>
      </c>
      <c r="J70" s="16" t="s">
        <v>231</v>
      </c>
      <c r="K70" s="17">
        <v>0</v>
      </c>
      <c r="L70" s="18">
        <f t="shared" ref="L70:L102" si="1">I70</f>
        <v>74.099999999999994</v>
      </c>
      <c r="M70" s="30">
        <v>0.21201079622132249</v>
      </c>
      <c r="N70" s="15">
        <v>58.3</v>
      </c>
      <c r="O70" s="19">
        <v>58.740554156171278</v>
      </c>
      <c r="P70" s="45" t="s">
        <v>394</v>
      </c>
      <c r="Q70" s="12" t="s">
        <v>232</v>
      </c>
    </row>
    <row r="71" spans="1:17" ht="45" x14ac:dyDescent="0.2">
      <c r="A71" s="12" t="s">
        <v>31</v>
      </c>
      <c r="B71" s="12" t="s">
        <v>32</v>
      </c>
      <c r="C71" s="12" t="s">
        <v>102</v>
      </c>
      <c r="D71" s="12" t="s">
        <v>102</v>
      </c>
      <c r="E71" s="16" t="s">
        <v>132</v>
      </c>
      <c r="F71" s="14" t="s">
        <v>197</v>
      </c>
      <c r="G71" s="14" t="s">
        <v>201</v>
      </c>
      <c r="H71" s="12">
        <v>1000</v>
      </c>
      <c r="I71" s="13">
        <v>89.4</v>
      </c>
      <c r="J71" s="16" t="s">
        <v>231</v>
      </c>
      <c r="K71" s="17">
        <v>0</v>
      </c>
      <c r="L71" s="18">
        <f t="shared" si="1"/>
        <v>89.4</v>
      </c>
      <c r="M71" s="30">
        <v>0.19731543624161077</v>
      </c>
      <c r="N71" s="15">
        <v>71.7</v>
      </c>
      <c r="O71" s="19">
        <v>72.241813602015114</v>
      </c>
      <c r="P71" s="45" t="s">
        <v>394</v>
      </c>
      <c r="Q71" s="12" t="s">
        <v>232</v>
      </c>
    </row>
    <row r="72" spans="1:17" ht="45" x14ac:dyDescent="0.2">
      <c r="A72" s="12" t="s">
        <v>31</v>
      </c>
      <c r="B72" s="12" t="s">
        <v>32</v>
      </c>
      <c r="C72" s="12" t="s">
        <v>103</v>
      </c>
      <c r="D72" s="12" t="s">
        <v>103</v>
      </c>
      <c r="E72" s="16" t="s">
        <v>132</v>
      </c>
      <c r="F72" s="14" t="s">
        <v>197</v>
      </c>
      <c r="G72" s="14" t="s">
        <v>202</v>
      </c>
      <c r="H72" s="12">
        <v>1000</v>
      </c>
      <c r="I72" s="13">
        <v>95.2</v>
      </c>
      <c r="J72" s="16" t="s">
        <v>231</v>
      </c>
      <c r="K72" s="17">
        <v>0</v>
      </c>
      <c r="L72" s="18">
        <f t="shared" si="1"/>
        <v>95.2</v>
      </c>
      <c r="M72" s="30">
        <v>0.2018907563025211</v>
      </c>
      <c r="N72" s="15">
        <v>75.900000000000006</v>
      </c>
      <c r="O72" s="19">
        <v>76.473551637279598</v>
      </c>
      <c r="P72" s="45" t="s">
        <v>394</v>
      </c>
      <c r="Q72" s="12" t="s">
        <v>232</v>
      </c>
    </row>
    <row r="73" spans="1:17" ht="45" x14ac:dyDescent="0.2">
      <c r="A73" s="12" t="s">
        <v>31</v>
      </c>
      <c r="B73" s="12" t="s">
        <v>32</v>
      </c>
      <c r="C73" s="12" t="s">
        <v>104</v>
      </c>
      <c r="D73" s="12" t="s">
        <v>104</v>
      </c>
      <c r="E73" s="16" t="s">
        <v>132</v>
      </c>
      <c r="F73" s="14" t="s">
        <v>197</v>
      </c>
      <c r="G73" s="14" t="s">
        <v>203</v>
      </c>
      <c r="H73" s="12">
        <v>1000</v>
      </c>
      <c r="I73" s="13">
        <v>89</v>
      </c>
      <c r="J73" s="16" t="s">
        <v>231</v>
      </c>
      <c r="K73" s="17">
        <v>0</v>
      </c>
      <c r="L73" s="18">
        <f t="shared" si="1"/>
        <v>89</v>
      </c>
      <c r="M73" s="30">
        <v>0.1085</v>
      </c>
      <c r="N73" s="15">
        <v>79.343500000000006</v>
      </c>
      <c r="O73" s="19">
        <v>79.943073047858945</v>
      </c>
      <c r="P73" s="45" t="s">
        <v>394</v>
      </c>
      <c r="Q73" s="12" t="s">
        <v>232</v>
      </c>
    </row>
    <row r="74" spans="1:17" ht="45" x14ac:dyDescent="0.2">
      <c r="A74" s="12" t="s">
        <v>31</v>
      </c>
      <c r="B74" s="12" t="s">
        <v>32</v>
      </c>
      <c r="C74" s="12" t="s">
        <v>105</v>
      </c>
      <c r="D74" s="12" t="s">
        <v>105</v>
      </c>
      <c r="E74" s="16" t="s">
        <v>132</v>
      </c>
      <c r="F74" s="14" t="s">
        <v>197</v>
      </c>
      <c r="G74" s="14" t="s">
        <v>204</v>
      </c>
      <c r="H74" s="12">
        <v>1000</v>
      </c>
      <c r="I74" s="13">
        <v>93.6</v>
      </c>
      <c r="J74" s="16" t="s">
        <v>231</v>
      </c>
      <c r="K74" s="17">
        <v>0</v>
      </c>
      <c r="L74" s="18">
        <f t="shared" si="1"/>
        <v>93.6</v>
      </c>
      <c r="M74" s="30">
        <v>0.20897435897435881</v>
      </c>
      <c r="N74" s="15">
        <v>74</v>
      </c>
      <c r="O74" s="19">
        <v>74.559193954659946</v>
      </c>
      <c r="P74" s="45" t="s">
        <v>394</v>
      </c>
      <c r="Q74" s="12" t="s">
        <v>232</v>
      </c>
    </row>
    <row r="75" spans="1:17" ht="45" x14ac:dyDescent="0.2">
      <c r="A75" s="12" t="s">
        <v>31</v>
      </c>
      <c r="B75" s="12" t="s">
        <v>32</v>
      </c>
      <c r="C75" s="12" t="s">
        <v>106</v>
      </c>
      <c r="D75" s="12" t="s">
        <v>106</v>
      </c>
      <c r="E75" s="16" t="s">
        <v>132</v>
      </c>
      <c r="F75" s="14" t="s">
        <v>197</v>
      </c>
      <c r="G75" s="14" t="s">
        <v>205</v>
      </c>
      <c r="H75" s="12">
        <v>1000</v>
      </c>
      <c r="I75" s="13">
        <v>71.5</v>
      </c>
      <c r="J75" s="16" t="s">
        <v>231</v>
      </c>
      <c r="K75" s="17">
        <v>0</v>
      </c>
      <c r="L75" s="18">
        <f t="shared" si="1"/>
        <v>71.5</v>
      </c>
      <c r="M75" s="30">
        <v>0.21048951048951051</v>
      </c>
      <c r="N75" s="15">
        <v>56.4</v>
      </c>
      <c r="O75" s="19">
        <v>56.826196473551633</v>
      </c>
      <c r="P75" s="45" t="s">
        <v>394</v>
      </c>
      <c r="Q75" s="12" t="s">
        <v>232</v>
      </c>
    </row>
    <row r="76" spans="1:17" ht="45" x14ac:dyDescent="0.2">
      <c r="A76" s="12" t="s">
        <v>31</v>
      </c>
      <c r="B76" s="12" t="s">
        <v>32</v>
      </c>
      <c r="C76" s="12" t="s">
        <v>107</v>
      </c>
      <c r="D76" s="12" t="s">
        <v>107</v>
      </c>
      <c r="E76" s="16" t="s">
        <v>132</v>
      </c>
      <c r="F76" s="14" t="s">
        <v>197</v>
      </c>
      <c r="G76" s="14" t="s">
        <v>206</v>
      </c>
      <c r="H76" s="12">
        <v>1000</v>
      </c>
      <c r="I76" s="13">
        <v>77</v>
      </c>
      <c r="J76" s="16" t="s">
        <v>231</v>
      </c>
      <c r="K76" s="17">
        <v>0</v>
      </c>
      <c r="L76" s="18">
        <f t="shared" si="1"/>
        <v>77</v>
      </c>
      <c r="M76" s="30">
        <v>0.21168831168831162</v>
      </c>
      <c r="N76" s="15">
        <v>60.70000000000001</v>
      </c>
      <c r="O76" s="19">
        <v>61.158690176322423</v>
      </c>
      <c r="P76" s="45" t="s">
        <v>394</v>
      </c>
      <c r="Q76" s="12" t="s">
        <v>232</v>
      </c>
    </row>
    <row r="77" spans="1:17" ht="45" x14ac:dyDescent="0.2">
      <c r="A77" s="12" t="s">
        <v>31</v>
      </c>
      <c r="B77" s="12" t="s">
        <v>32</v>
      </c>
      <c r="C77" s="12" t="s">
        <v>108</v>
      </c>
      <c r="D77" s="12" t="s">
        <v>108</v>
      </c>
      <c r="E77" s="16" t="s">
        <v>132</v>
      </c>
      <c r="F77" s="14" t="s">
        <v>197</v>
      </c>
      <c r="G77" s="14" t="s">
        <v>207</v>
      </c>
      <c r="H77" s="12">
        <v>1000</v>
      </c>
      <c r="I77" s="13">
        <v>90.7</v>
      </c>
      <c r="J77" s="16" t="s">
        <v>231</v>
      </c>
      <c r="K77" s="17">
        <v>0</v>
      </c>
      <c r="L77" s="18">
        <f t="shared" si="1"/>
        <v>90.7</v>
      </c>
      <c r="M77" s="30">
        <v>0.21245865490628449</v>
      </c>
      <c r="N77" s="15">
        <v>71.400000000000006</v>
      </c>
      <c r="O77" s="19">
        <v>71.939546599496225</v>
      </c>
      <c r="P77" s="45" t="s">
        <v>394</v>
      </c>
      <c r="Q77" s="12" t="s">
        <v>232</v>
      </c>
    </row>
    <row r="78" spans="1:17" ht="45" x14ac:dyDescent="0.2">
      <c r="A78" s="12" t="s">
        <v>31</v>
      </c>
      <c r="B78" s="12" t="s">
        <v>32</v>
      </c>
      <c r="C78" s="12" t="s">
        <v>109</v>
      </c>
      <c r="D78" s="12" t="s">
        <v>109</v>
      </c>
      <c r="E78" s="16" t="s">
        <v>132</v>
      </c>
      <c r="F78" s="14" t="s">
        <v>208</v>
      </c>
      <c r="G78" s="14" t="s">
        <v>184</v>
      </c>
      <c r="H78" s="12">
        <v>1000</v>
      </c>
      <c r="I78" s="13">
        <v>76.599999999999994</v>
      </c>
      <c r="J78" s="16" t="s">
        <v>231</v>
      </c>
      <c r="K78" s="17">
        <v>0</v>
      </c>
      <c r="L78" s="18">
        <f t="shared" si="1"/>
        <v>76.599999999999994</v>
      </c>
      <c r="M78" s="30">
        <v>0.10848563968668393</v>
      </c>
      <c r="N78" s="15">
        <v>68.2</v>
      </c>
      <c r="O78" s="19">
        <v>68.715365239294712</v>
      </c>
      <c r="P78" s="45" t="s">
        <v>394</v>
      </c>
      <c r="Q78" s="12" t="s">
        <v>232</v>
      </c>
    </row>
    <row r="79" spans="1:17" ht="45" x14ac:dyDescent="0.2">
      <c r="A79" s="12" t="s">
        <v>31</v>
      </c>
      <c r="B79" s="12" t="s">
        <v>32</v>
      </c>
      <c r="C79" s="12" t="s">
        <v>110</v>
      </c>
      <c r="D79" s="12" t="s">
        <v>110</v>
      </c>
      <c r="E79" s="16" t="s">
        <v>132</v>
      </c>
      <c r="F79" s="14" t="s">
        <v>208</v>
      </c>
      <c r="G79" s="14" t="s">
        <v>185</v>
      </c>
      <c r="H79" s="12">
        <v>1000</v>
      </c>
      <c r="I79" s="13">
        <v>79.2</v>
      </c>
      <c r="J79" s="16" t="s">
        <v>231</v>
      </c>
      <c r="K79" s="17">
        <v>0</v>
      </c>
      <c r="L79" s="18">
        <f t="shared" si="1"/>
        <v>79.2</v>
      </c>
      <c r="M79" s="30">
        <v>0.19722222222222222</v>
      </c>
      <c r="N79" s="15">
        <v>63.5</v>
      </c>
      <c r="O79" s="19">
        <v>63.979848866498735</v>
      </c>
      <c r="P79" s="45" t="s">
        <v>394</v>
      </c>
      <c r="Q79" s="12" t="s">
        <v>232</v>
      </c>
    </row>
    <row r="80" spans="1:17" ht="45" x14ac:dyDescent="0.2">
      <c r="A80" s="12" t="s">
        <v>31</v>
      </c>
      <c r="B80" s="12" t="s">
        <v>32</v>
      </c>
      <c r="C80" s="12" t="s">
        <v>111</v>
      </c>
      <c r="D80" s="12" t="s">
        <v>111</v>
      </c>
      <c r="E80" s="16" t="s">
        <v>132</v>
      </c>
      <c r="F80" s="14" t="s">
        <v>208</v>
      </c>
      <c r="G80" s="14" t="s">
        <v>186</v>
      </c>
      <c r="H80" s="12">
        <v>1000</v>
      </c>
      <c r="I80" s="13">
        <v>81.599999999999994</v>
      </c>
      <c r="J80" s="16" t="s">
        <v>231</v>
      </c>
      <c r="K80" s="17">
        <v>0</v>
      </c>
      <c r="L80" s="18">
        <f t="shared" si="1"/>
        <v>81.599999999999994</v>
      </c>
      <c r="M80" s="30">
        <v>0.1980392156862745</v>
      </c>
      <c r="N80" s="15">
        <v>65.400000000000006</v>
      </c>
      <c r="O80" s="19">
        <v>65.894206549118394</v>
      </c>
      <c r="P80" s="45" t="s">
        <v>394</v>
      </c>
      <c r="Q80" s="12" t="s">
        <v>232</v>
      </c>
    </row>
    <row r="81" spans="1:17" ht="45" x14ac:dyDescent="0.2">
      <c r="A81" s="12" t="s">
        <v>31</v>
      </c>
      <c r="B81" s="12" t="s">
        <v>32</v>
      </c>
      <c r="C81" s="12" t="s">
        <v>112</v>
      </c>
      <c r="D81" s="12" t="s">
        <v>112</v>
      </c>
      <c r="E81" s="16" t="s">
        <v>132</v>
      </c>
      <c r="F81" s="14" t="s">
        <v>208</v>
      </c>
      <c r="G81" s="14" t="s">
        <v>187</v>
      </c>
      <c r="H81" s="12">
        <v>1000</v>
      </c>
      <c r="I81" s="13">
        <v>84.1</v>
      </c>
      <c r="J81" s="16" t="s">
        <v>231</v>
      </c>
      <c r="K81" s="17">
        <v>0</v>
      </c>
      <c r="L81" s="18">
        <f t="shared" si="1"/>
        <v>84.1</v>
      </c>
      <c r="M81" s="30">
        <v>0.19988109393579059</v>
      </c>
      <c r="N81" s="15">
        <v>67.2</v>
      </c>
      <c r="O81" s="19">
        <v>67.70780856423174</v>
      </c>
      <c r="P81" s="45" t="s">
        <v>394</v>
      </c>
      <c r="Q81" s="12" t="s">
        <v>232</v>
      </c>
    </row>
    <row r="82" spans="1:17" ht="45" x14ac:dyDescent="0.2">
      <c r="A82" s="12" t="s">
        <v>31</v>
      </c>
      <c r="B82" s="12" t="s">
        <v>32</v>
      </c>
      <c r="C82" s="12" t="s">
        <v>113</v>
      </c>
      <c r="D82" s="12" t="s">
        <v>113</v>
      </c>
      <c r="E82" s="16" t="s">
        <v>132</v>
      </c>
      <c r="F82" s="14" t="s">
        <v>208</v>
      </c>
      <c r="G82" s="14" t="s">
        <v>188</v>
      </c>
      <c r="H82" s="12">
        <v>1000</v>
      </c>
      <c r="I82" s="13">
        <v>89.4</v>
      </c>
      <c r="J82" s="16" t="s">
        <v>231</v>
      </c>
      <c r="K82" s="17">
        <v>0</v>
      </c>
      <c r="L82" s="18">
        <f t="shared" si="1"/>
        <v>89.4</v>
      </c>
      <c r="M82" s="30">
        <v>0.19731543624161077</v>
      </c>
      <c r="N82" s="15">
        <v>71.7</v>
      </c>
      <c r="O82" s="19">
        <v>72.241813602015114</v>
      </c>
      <c r="P82" s="45" t="s">
        <v>394</v>
      </c>
      <c r="Q82" s="12" t="s">
        <v>232</v>
      </c>
    </row>
    <row r="83" spans="1:17" ht="45" x14ac:dyDescent="0.2">
      <c r="A83" s="12" t="s">
        <v>31</v>
      </c>
      <c r="B83" s="12" t="s">
        <v>32</v>
      </c>
      <c r="C83" s="12" t="s">
        <v>114</v>
      </c>
      <c r="D83" s="12" t="s">
        <v>114</v>
      </c>
      <c r="E83" s="16" t="s">
        <v>132</v>
      </c>
      <c r="F83" s="14" t="s">
        <v>208</v>
      </c>
      <c r="G83" s="14" t="s">
        <v>189</v>
      </c>
      <c r="H83" s="12">
        <v>1000</v>
      </c>
      <c r="I83" s="13">
        <v>95.2</v>
      </c>
      <c r="J83" s="16" t="s">
        <v>231</v>
      </c>
      <c r="K83" s="17">
        <v>0</v>
      </c>
      <c r="L83" s="18">
        <f t="shared" si="1"/>
        <v>95.2</v>
      </c>
      <c r="M83" s="30">
        <v>0.2018907563025211</v>
      </c>
      <c r="N83" s="15">
        <v>75.900000000000006</v>
      </c>
      <c r="O83" s="19">
        <v>76.473551637279598</v>
      </c>
      <c r="P83" s="45" t="s">
        <v>394</v>
      </c>
      <c r="Q83" s="12" t="s">
        <v>232</v>
      </c>
    </row>
    <row r="84" spans="1:17" ht="45" x14ac:dyDescent="0.2">
      <c r="A84" s="12" t="s">
        <v>31</v>
      </c>
      <c r="B84" s="12" t="s">
        <v>32</v>
      </c>
      <c r="C84" s="12" t="s">
        <v>115</v>
      </c>
      <c r="D84" s="12" t="s">
        <v>115</v>
      </c>
      <c r="E84" s="16" t="s">
        <v>132</v>
      </c>
      <c r="F84" s="14" t="s">
        <v>208</v>
      </c>
      <c r="G84" s="14" t="s">
        <v>190</v>
      </c>
      <c r="H84" s="12">
        <v>1000</v>
      </c>
      <c r="I84" s="13">
        <v>99</v>
      </c>
      <c r="J84" s="16" t="s">
        <v>231</v>
      </c>
      <c r="K84" s="17">
        <v>0</v>
      </c>
      <c r="L84" s="18">
        <f t="shared" si="1"/>
        <v>99</v>
      </c>
      <c r="M84" s="30">
        <v>0.10848484848484855</v>
      </c>
      <c r="N84" s="15">
        <v>88.2</v>
      </c>
      <c r="O84" s="19">
        <v>88.86649874055415</v>
      </c>
      <c r="P84" s="45" t="s">
        <v>394</v>
      </c>
      <c r="Q84" s="12" t="s">
        <v>232</v>
      </c>
    </row>
    <row r="85" spans="1:17" ht="45" x14ac:dyDescent="0.2">
      <c r="A85" s="12" t="s">
        <v>31</v>
      </c>
      <c r="B85" s="12" t="s">
        <v>32</v>
      </c>
      <c r="C85" s="12" t="s">
        <v>116</v>
      </c>
      <c r="D85" s="12" t="s">
        <v>116</v>
      </c>
      <c r="E85" s="16" t="s">
        <v>132</v>
      </c>
      <c r="F85" s="14" t="s">
        <v>208</v>
      </c>
      <c r="G85" s="14" t="s">
        <v>191</v>
      </c>
      <c r="H85" s="12">
        <v>1000</v>
      </c>
      <c r="I85" s="13">
        <v>103.6</v>
      </c>
      <c r="J85" s="16" t="s">
        <v>231</v>
      </c>
      <c r="K85" s="17">
        <v>0</v>
      </c>
      <c r="L85" s="18">
        <f t="shared" si="1"/>
        <v>103.6</v>
      </c>
      <c r="M85" s="30">
        <v>0.19942084942084939</v>
      </c>
      <c r="N85" s="15">
        <v>82.9</v>
      </c>
      <c r="O85" s="19">
        <v>83.526448362720402</v>
      </c>
      <c r="P85" s="45" t="s">
        <v>394</v>
      </c>
      <c r="Q85" s="12" t="s">
        <v>232</v>
      </c>
    </row>
    <row r="86" spans="1:17" ht="45" x14ac:dyDescent="0.2">
      <c r="A86" s="12" t="s">
        <v>31</v>
      </c>
      <c r="B86" s="12" t="s">
        <v>32</v>
      </c>
      <c r="C86" s="12" t="s">
        <v>117</v>
      </c>
      <c r="D86" s="12" t="s">
        <v>117</v>
      </c>
      <c r="E86" s="16" t="s">
        <v>132</v>
      </c>
      <c r="F86" s="14" t="s">
        <v>208</v>
      </c>
      <c r="G86" s="14" t="s">
        <v>192</v>
      </c>
      <c r="H86" s="12">
        <v>1000</v>
      </c>
      <c r="I86" s="13">
        <v>81.5</v>
      </c>
      <c r="J86" s="16" t="s">
        <v>231</v>
      </c>
      <c r="K86" s="17">
        <v>0</v>
      </c>
      <c r="L86" s="18">
        <f t="shared" si="1"/>
        <v>81.5</v>
      </c>
      <c r="M86" s="30">
        <v>0.19815950920245398</v>
      </c>
      <c r="N86" s="15">
        <v>65.3</v>
      </c>
      <c r="O86" s="19">
        <v>65.793450881612088</v>
      </c>
      <c r="P86" s="45" t="s">
        <v>394</v>
      </c>
      <c r="Q86" s="12" t="s">
        <v>232</v>
      </c>
    </row>
    <row r="87" spans="1:17" ht="45" x14ac:dyDescent="0.2">
      <c r="A87" s="12" t="s">
        <v>31</v>
      </c>
      <c r="B87" s="12" t="s">
        <v>32</v>
      </c>
      <c r="C87" s="12" t="s">
        <v>118</v>
      </c>
      <c r="D87" s="12" t="s">
        <v>118</v>
      </c>
      <c r="E87" s="16" t="s">
        <v>132</v>
      </c>
      <c r="F87" s="14" t="s">
        <v>208</v>
      </c>
      <c r="G87" s="14" t="s">
        <v>193</v>
      </c>
      <c r="H87" s="12">
        <v>1000</v>
      </c>
      <c r="I87" s="13">
        <v>87</v>
      </c>
      <c r="J87" s="16" t="s">
        <v>231</v>
      </c>
      <c r="K87" s="17">
        <v>0</v>
      </c>
      <c r="L87" s="18">
        <f t="shared" si="1"/>
        <v>87</v>
      </c>
      <c r="M87" s="30">
        <v>0.19999999999999998</v>
      </c>
      <c r="N87" s="15">
        <v>69.600000000000009</v>
      </c>
      <c r="O87" s="19">
        <v>70.125944584382879</v>
      </c>
      <c r="P87" s="45" t="s">
        <v>394</v>
      </c>
      <c r="Q87" s="12" t="s">
        <v>232</v>
      </c>
    </row>
    <row r="88" spans="1:17" ht="45" x14ac:dyDescent="0.2">
      <c r="A88" s="12" t="s">
        <v>31</v>
      </c>
      <c r="B88" s="12" t="s">
        <v>32</v>
      </c>
      <c r="C88" s="12" t="s">
        <v>119</v>
      </c>
      <c r="D88" s="12" t="s">
        <v>119</v>
      </c>
      <c r="E88" s="16" t="s">
        <v>132</v>
      </c>
      <c r="F88" s="14" t="s">
        <v>208</v>
      </c>
      <c r="G88" s="14" t="s">
        <v>194</v>
      </c>
      <c r="H88" s="12">
        <v>1000</v>
      </c>
      <c r="I88" s="13">
        <v>100.7</v>
      </c>
      <c r="J88" s="16" t="s">
        <v>231</v>
      </c>
      <c r="K88" s="17">
        <v>0</v>
      </c>
      <c r="L88" s="18">
        <f t="shared" si="1"/>
        <v>100.7</v>
      </c>
      <c r="M88" s="30">
        <v>0.20228401191658388</v>
      </c>
      <c r="N88" s="15">
        <v>80.3</v>
      </c>
      <c r="O88" s="19">
        <v>80.906801007556666</v>
      </c>
      <c r="P88" s="45" t="s">
        <v>394</v>
      </c>
      <c r="Q88" s="12" t="s">
        <v>232</v>
      </c>
    </row>
    <row r="89" spans="1:17" ht="45" x14ac:dyDescent="0.2">
      <c r="A89" s="12" t="s">
        <v>31</v>
      </c>
      <c r="B89" s="12" t="s">
        <v>32</v>
      </c>
      <c r="C89" s="12" t="s">
        <v>120</v>
      </c>
      <c r="D89" s="12" t="s">
        <v>120</v>
      </c>
      <c r="E89" s="16" t="s">
        <v>132</v>
      </c>
      <c r="F89" s="14" t="s">
        <v>209</v>
      </c>
      <c r="G89" s="14" t="s">
        <v>210</v>
      </c>
      <c r="H89" s="12">
        <v>1000</v>
      </c>
      <c r="I89" s="13">
        <v>76.3</v>
      </c>
      <c r="J89" s="16" t="s">
        <v>231</v>
      </c>
      <c r="K89" s="17">
        <v>0</v>
      </c>
      <c r="L89" s="18">
        <f t="shared" si="1"/>
        <v>76.3</v>
      </c>
      <c r="M89" s="30">
        <v>0.20878112712975097</v>
      </c>
      <c r="N89" s="15">
        <v>60.3</v>
      </c>
      <c r="O89" s="19">
        <v>60.755667506297222</v>
      </c>
      <c r="P89" s="45" t="s">
        <v>394</v>
      </c>
      <c r="Q89" s="12" t="s">
        <v>232</v>
      </c>
    </row>
    <row r="90" spans="1:17" ht="45" x14ac:dyDescent="0.2">
      <c r="A90" s="12" t="s">
        <v>31</v>
      </c>
      <c r="B90" s="12" t="s">
        <v>32</v>
      </c>
      <c r="C90" s="12" t="s">
        <v>121</v>
      </c>
      <c r="D90" s="12" t="s">
        <v>121</v>
      </c>
      <c r="E90" s="16" t="s">
        <v>132</v>
      </c>
      <c r="F90" s="14" t="s">
        <v>209</v>
      </c>
      <c r="G90" s="14" t="s">
        <v>211</v>
      </c>
      <c r="H90" s="12">
        <v>1000</v>
      </c>
      <c r="I90" s="13">
        <v>86.5</v>
      </c>
      <c r="J90" s="16" t="s">
        <v>231</v>
      </c>
      <c r="K90" s="17">
        <v>0</v>
      </c>
      <c r="L90" s="18">
        <f t="shared" si="1"/>
        <v>86.5</v>
      </c>
      <c r="M90" s="30">
        <v>0.28497109826589595</v>
      </c>
      <c r="N90" s="15">
        <v>61.8</v>
      </c>
      <c r="O90" s="19">
        <v>62.26700251889168</v>
      </c>
      <c r="P90" s="45" t="s">
        <v>394</v>
      </c>
      <c r="Q90" s="12" t="s">
        <v>232</v>
      </c>
    </row>
    <row r="91" spans="1:17" ht="45" x14ac:dyDescent="0.2">
      <c r="A91" s="12" t="s">
        <v>31</v>
      </c>
      <c r="B91" s="12" t="s">
        <v>32</v>
      </c>
      <c r="C91" s="12" t="s">
        <v>122</v>
      </c>
      <c r="D91" s="12" t="s">
        <v>122</v>
      </c>
      <c r="E91" s="16" t="s">
        <v>132</v>
      </c>
      <c r="F91" s="14" t="s">
        <v>209</v>
      </c>
      <c r="G91" s="14" t="s">
        <v>212</v>
      </c>
      <c r="H91" s="12">
        <v>1000</v>
      </c>
      <c r="I91" s="13">
        <v>78.8</v>
      </c>
      <c r="J91" s="16" t="s">
        <v>231</v>
      </c>
      <c r="K91" s="17">
        <v>0</v>
      </c>
      <c r="L91" s="18">
        <f t="shared" si="1"/>
        <v>78.8</v>
      </c>
      <c r="M91" s="30">
        <v>0.12411167512690349</v>
      </c>
      <c r="N91" s="15">
        <v>69</v>
      </c>
      <c r="O91" s="19">
        <v>69.521410579345087</v>
      </c>
      <c r="P91" s="45" t="s">
        <v>394</v>
      </c>
      <c r="Q91" s="12" t="s">
        <v>232</v>
      </c>
    </row>
    <row r="92" spans="1:17" ht="45" x14ac:dyDescent="0.2">
      <c r="A92" s="12" t="s">
        <v>31</v>
      </c>
      <c r="B92" s="12" t="s">
        <v>32</v>
      </c>
      <c r="C92" s="12" t="s">
        <v>123</v>
      </c>
      <c r="D92" s="12" t="s">
        <v>123</v>
      </c>
      <c r="E92" s="16" t="s">
        <v>132</v>
      </c>
      <c r="F92" s="14" t="s">
        <v>209</v>
      </c>
      <c r="G92" s="14" t="s">
        <v>213</v>
      </c>
      <c r="H92" s="12">
        <v>1000</v>
      </c>
      <c r="I92" s="13">
        <v>88.7</v>
      </c>
      <c r="J92" s="16" t="s">
        <v>231</v>
      </c>
      <c r="K92" s="17">
        <v>0</v>
      </c>
      <c r="L92" s="18">
        <f t="shared" si="1"/>
        <v>88.7</v>
      </c>
      <c r="M92" s="30">
        <v>0.10845546786922214</v>
      </c>
      <c r="N92" s="15">
        <v>79</v>
      </c>
      <c r="O92" s="19">
        <v>79.596977329974806</v>
      </c>
      <c r="P92" s="45" t="s">
        <v>394</v>
      </c>
      <c r="Q92" s="12" t="s">
        <v>232</v>
      </c>
    </row>
    <row r="93" spans="1:17" ht="45" x14ac:dyDescent="0.2">
      <c r="A93" s="12" t="s">
        <v>31</v>
      </c>
      <c r="B93" s="12" t="s">
        <v>33</v>
      </c>
      <c r="C93" s="13" t="s">
        <v>124</v>
      </c>
      <c r="D93" s="13" t="s">
        <v>124</v>
      </c>
      <c r="E93" s="16" t="s">
        <v>132</v>
      </c>
      <c r="F93" s="14" t="s">
        <v>214</v>
      </c>
      <c r="G93" s="14" t="s">
        <v>214</v>
      </c>
      <c r="H93" s="12" t="s">
        <v>228</v>
      </c>
      <c r="I93" s="13">
        <v>4.0999999999999996</v>
      </c>
      <c r="J93" s="16" t="s">
        <v>231</v>
      </c>
      <c r="K93" s="17">
        <v>0</v>
      </c>
      <c r="L93" s="18">
        <f t="shared" si="1"/>
        <v>4.0999999999999996</v>
      </c>
      <c r="M93" s="30">
        <v>0.34390243902439011</v>
      </c>
      <c r="N93" s="15">
        <v>2.6</v>
      </c>
      <c r="O93" s="19">
        <v>2.6196473551637278</v>
      </c>
      <c r="P93" s="45" t="s">
        <v>394</v>
      </c>
      <c r="Q93" s="12" t="s">
        <v>232</v>
      </c>
    </row>
    <row r="94" spans="1:17" ht="45" x14ac:dyDescent="0.2">
      <c r="A94" s="12" t="s">
        <v>34</v>
      </c>
      <c r="B94" s="12" t="s">
        <v>32</v>
      </c>
      <c r="C94" s="12">
        <v>1002</v>
      </c>
      <c r="D94" s="12">
        <v>1002</v>
      </c>
      <c r="E94" s="16" t="s">
        <v>132</v>
      </c>
      <c r="F94" s="14" t="s">
        <v>215</v>
      </c>
      <c r="G94" s="14" t="s">
        <v>216</v>
      </c>
      <c r="H94" s="12" t="s">
        <v>228</v>
      </c>
      <c r="I94" s="13">
        <v>3.9</v>
      </c>
      <c r="J94" s="16" t="s">
        <v>231</v>
      </c>
      <c r="K94" s="17">
        <v>0</v>
      </c>
      <c r="L94" s="18">
        <f t="shared" si="1"/>
        <v>3.9</v>
      </c>
      <c r="M94" s="30">
        <v>0.35641025641025637</v>
      </c>
      <c r="N94" s="15">
        <v>2.5</v>
      </c>
      <c r="O94" s="19">
        <v>2.5188916876574305</v>
      </c>
      <c r="P94" s="45" t="s">
        <v>394</v>
      </c>
      <c r="Q94" s="12" t="s">
        <v>232</v>
      </c>
    </row>
    <row r="95" spans="1:17" ht="45" x14ac:dyDescent="0.2">
      <c r="A95" s="12" t="s">
        <v>34</v>
      </c>
      <c r="B95" s="12" t="s">
        <v>35</v>
      </c>
      <c r="C95" s="12">
        <v>15900</v>
      </c>
      <c r="D95" s="12">
        <v>15900</v>
      </c>
      <c r="E95" s="16" t="s">
        <v>132</v>
      </c>
      <c r="F95" s="14" t="s">
        <v>217</v>
      </c>
      <c r="G95" s="14" t="s">
        <v>218</v>
      </c>
      <c r="H95" s="12" t="s">
        <v>229</v>
      </c>
      <c r="I95" s="13">
        <v>2.6</v>
      </c>
      <c r="J95" s="16" t="s">
        <v>231</v>
      </c>
      <c r="K95" s="17">
        <v>0</v>
      </c>
      <c r="L95" s="18">
        <f t="shared" si="1"/>
        <v>2.6</v>
      </c>
      <c r="M95" s="30">
        <v>0.25384615384615383</v>
      </c>
      <c r="N95" s="15">
        <v>1.9</v>
      </c>
      <c r="O95" s="19">
        <v>1.9143576826196471</v>
      </c>
      <c r="P95" s="45" t="s">
        <v>394</v>
      </c>
      <c r="Q95" s="12" t="s">
        <v>232</v>
      </c>
    </row>
    <row r="96" spans="1:17" ht="45" x14ac:dyDescent="0.2">
      <c r="A96" s="12" t="s">
        <v>34</v>
      </c>
      <c r="B96" s="12" t="s">
        <v>35</v>
      </c>
      <c r="C96" s="12" t="s">
        <v>125</v>
      </c>
      <c r="D96" s="12" t="s">
        <v>125</v>
      </c>
      <c r="E96" s="16" t="s">
        <v>132</v>
      </c>
      <c r="F96" s="14" t="s">
        <v>219</v>
      </c>
      <c r="G96" s="14" t="s">
        <v>220</v>
      </c>
      <c r="H96" s="12" t="s">
        <v>230</v>
      </c>
      <c r="I96" s="13">
        <v>199.95</v>
      </c>
      <c r="J96" s="16" t="s">
        <v>231</v>
      </c>
      <c r="K96" s="17">
        <v>0</v>
      </c>
      <c r="L96" s="18">
        <f t="shared" si="1"/>
        <v>199.95</v>
      </c>
      <c r="M96" s="30">
        <v>0.11025256314078516</v>
      </c>
      <c r="N96" s="15">
        <v>177.9</v>
      </c>
      <c r="O96" s="19">
        <v>179.24433249370276</v>
      </c>
      <c r="P96" s="45" t="s">
        <v>394</v>
      </c>
      <c r="Q96" s="12" t="s">
        <v>232</v>
      </c>
    </row>
    <row r="97" spans="1:17" ht="45" x14ac:dyDescent="0.2">
      <c r="A97" s="12" t="s">
        <v>34</v>
      </c>
      <c r="B97" s="12" t="s">
        <v>35</v>
      </c>
      <c r="C97" s="12" t="s">
        <v>126</v>
      </c>
      <c r="D97" s="12" t="s">
        <v>126</v>
      </c>
      <c r="E97" s="16" t="s">
        <v>132</v>
      </c>
      <c r="F97" s="14" t="s">
        <v>219</v>
      </c>
      <c r="G97" s="14" t="s">
        <v>221</v>
      </c>
      <c r="H97" s="12" t="s">
        <v>230</v>
      </c>
      <c r="I97" s="13">
        <v>199.95</v>
      </c>
      <c r="J97" s="16" t="s">
        <v>231</v>
      </c>
      <c r="K97" s="17">
        <v>0</v>
      </c>
      <c r="L97" s="18">
        <f t="shared" si="1"/>
        <v>199.95</v>
      </c>
      <c r="M97" s="30">
        <v>0.11025256314078516</v>
      </c>
      <c r="N97" s="15">
        <v>177.9</v>
      </c>
      <c r="O97" s="19">
        <v>179.24433249370276</v>
      </c>
      <c r="P97" s="45" t="s">
        <v>394</v>
      </c>
      <c r="Q97" s="12" t="s">
        <v>232</v>
      </c>
    </row>
    <row r="98" spans="1:17" ht="45" x14ac:dyDescent="0.2">
      <c r="A98" s="12" t="s">
        <v>34</v>
      </c>
      <c r="B98" s="12" t="s">
        <v>35</v>
      </c>
      <c r="C98" s="12" t="s">
        <v>127</v>
      </c>
      <c r="D98" s="12" t="s">
        <v>127</v>
      </c>
      <c r="E98" s="16" t="s">
        <v>132</v>
      </c>
      <c r="F98" s="14" t="s">
        <v>219</v>
      </c>
      <c r="G98" s="14" t="s">
        <v>222</v>
      </c>
      <c r="H98" s="12" t="s">
        <v>230</v>
      </c>
      <c r="I98" s="13">
        <v>199.95</v>
      </c>
      <c r="J98" s="16" t="s">
        <v>231</v>
      </c>
      <c r="K98" s="17">
        <v>0</v>
      </c>
      <c r="L98" s="18">
        <f t="shared" si="1"/>
        <v>199.95</v>
      </c>
      <c r="M98" s="30">
        <v>0.11025256314078516</v>
      </c>
      <c r="N98" s="15">
        <v>177.9</v>
      </c>
      <c r="O98" s="19">
        <v>179.24433249370276</v>
      </c>
      <c r="P98" s="45" t="s">
        <v>394</v>
      </c>
      <c r="Q98" s="12" t="s">
        <v>232</v>
      </c>
    </row>
    <row r="99" spans="1:17" ht="45" x14ac:dyDescent="0.2">
      <c r="A99" s="12" t="s">
        <v>34</v>
      </c>
      <c r="B99" s="12" t="s">
        <v>35</v>
      </c>
      <c r="C99" s="12" t="s">
        <v>128</v>
      </c>
      <c r="D99" s="12" t="s">
        <v>128</v>
      </c>
      <c r="E99" s="16" t="s">
        <v>132</v>
      </c>
      <c r="F99" s="14" t="s">
        <v>219</v>
      </c>
      <c r="G99" s="14" t="s">
        <v>223</v>
      </c>
      <c r="H99" s="12" t="s">
        <v>230</v>
      </c>
      <c r="I99" s="13">
        <v>199.95</v>
      </c>
      <c r="J99" s="16" t="s">
        <v>231</v>
      </c>
      <c r="K99" s="17">
        <v>0</v>
      </c>
      <c r="L99" s="18">
        <f t="shared" si="1"/>
        <v>199.95</v>
      </c>
      <c r="M99" s="30">
        <v>0.11025256314078516</v>
      </c>
      <c r="N99" s="15">
        <v>177.9</v>
      </c>
      <c r="O99" s="19">
        <v>179.24433249370276</v>
      </c>
      <c r="P99" s="45" t="s">
        <v>394</v>
      </c>
      <c r="Q99" s="12" t="s">
        <v>232</v>
      </c>
    </row>
    <row r="100" spans="1:17" ht="45" x14ac:dyDescent="0.2">
      <c r="A100" s="12" t="s">
        <v>34</v>
      </c>
      <c r="B100" s="12" t="s">
        <v>35</v>
      </c>
      <c r="C100" s="12" t="s">
        <v>129</v>
      </c>
      <c r="D100" s="12" t="s">
        <v>129</v>
      </c>
      <c r="E100" s="16" t="s">
        <v>132</v>
      </c>
      <c r="F100" s="14" t="s">
        <v>219</v>
      </c>
      <c r="G100" s="14" t="s">
        <v>224</v>
      </c>
      <c r="H100" s="12" t="s">
        <v>230</v>
      </c>
      <c r="I100" s="13">
        <v>199.95</v>
      </c>
      <c r="J100" s="16" t="s">
        <v>231</v>
      </c>
      <c r="K100" s="17">
        <v>0</v>
      </c>
      <c r="L100" s="18">
        <f t="shared" si="1"/>
        <v>199.95</v>
      </c>
      <c r="M100" s="30">
        <v>0.11025256314078516</v>
      </c>
      <c r="N100" s="15">
        <v>177.9</v>
      </c>
      <c r="O100" s="19">
        <v>179.24433249370276</v>
      </c>
      <c r="P100" s="45" t="s">
        <v>394</v>
      </c>
      <c r="Q100" s="12" t="s">
        <v>232</v>
      </c>
    </row>
    <row r="101" spans="1:17" ht="45" x14ac:dyDescent="0.2">
      <c r="A101" s="12" t="s">
        <v>34</v>
      </c>
      <c r="B101" s="12" t="s">
        <v>35</v>
      </c>
      <c r="C101" s="12" t="s">
        <v>130</v>
      </c>
      <c r="D101" s="12" t="s">
        <v>130</v>
      </c>
      <c r="E101" s="16" t="s">
        <v>132</v>
      </c>
      <c r="F101" s="14" t="s">
        <v>219</v>
      </c>
      <c r="G101" s="14" t="s">
        <v>225</v>
      </c>
      <c r="H101" s="12" t="s">
        <v>230</v>
      </c>
      <c r="I101" s="13">
        <v>199.95</v>
      </c>
      <c r="J101" s="16" t="s">
        <v>231</v>
      </c>
      <c r="K101" s="17">
        <v>0</v>
      </c>
      <c r="L101" s="18">
        <f t="shared" si="1"/>
        <v>199.95</v>
      </c>
      <c r="M101" s="30">
        <v>0.11025256314078516</v>
      </c>
      <c r="N101" s="15">
        <v>177.9</v>
      </c>
      <c r="O101" s="19">
        <v>179.24433249370276</v>
      </c>
      <c r="P101" s="45" t="s">
        <v>394</v>
      </c>
      <c r="Q101" s="12" t="s">
        <v>232</v>
      </c>
    </row>
    <row r="102" spans="1:17" ht="45" x14ac:dyDescent="0.2">
      <c r="A102" s="12" t="s">
        <v>34</v>
      </c>
      <c r="B102" s="12" t="s">
        <v>35</v>
      </c>
      <c r="C102" s="12" t="s">
        <v>131</v>
      </c>
      <c r="D102" s="12" t="s">
        <v>131</v>
      </c>
      <c r="E102" s="16" t="s">
        <v>132</v>
      </c>
      <c r="F102" s="14" t="s">
        <v>226</v>
      </c>
      <c r="G102" s="14" t="s">
        <v>227</v>
      </c>
      <c r="H102" s="12" t="s">
        <v>228</v>
      </c>
      <c r="I102" s="13">
        <v>93.75</v>
      </c>
      <c r="J102" s="16" t="s">
        <v>231</v>
      </c>
      <c r="K102" s="17">
        <v>0</v>
      </c>
      <c r="L102" s="18">
        <f t="shared" si="1"/>
        <v>93.75</v>
      </c>
      <c r="M102" s="30">
        <v>0.11013333333333333</v>
      </c>
      <c r="N102" s="15">
        <v>83.4</v>
      </c>
      <c r="O102" s="19">
        <v>84.030226700251887</v>
      </c>
      <c r="P102" s="45" t="s">
        <v>394</v>
      </c>
      <c r="Q102" s="12" t="s">
        <v>232</v>
      </c>
    </row>
    <row r="103" spans="1:17" s="53" customFormat="1" x14ac:dyDescent="0.2">
      <c r="A103" s="42" t="s">
        <v>34</v>
      </c>
      <c r="B103" s="43" t="s">
        <v>235</v>
      </c>
      <c r="C103" s="44">
        <v>3610</v>
      </c>
      <c r="D103" s="42">
        <f>C103</f>
        <v>3610</v>
      </c>
      <c r="E103" s="45"/>
      <c r="F103" s="44" t="s">
        <v>236</v>
      </c>
      <c r="G103" s="44" t="s">
        <v>237</v>
      </c>
      <c r="H103" s="44" t="s">
        <v>238</v>
      </c>
      <c r="I103" s="46">
        <v>40.44</v>
      </c>
      <c r="J103" s="47" t="s">
        <v>239</v>
      </c>
      <c r="K103" s="48">
        <v>0</v>
      </c>
      <c r="L103" s="49">
        <f>I103</f>
        <v>40.44</v>
      </c>
      <c r="M103" s="50">
        <v>0.1082</v>
      </c>
      <c r="N103" s="51">
        <f>I103-(I103*M103)</f>
        <v>36.064391999999998</v>
      </c>
      <c r="O103" s="52">
        <f>N103/0.9925</f>
        <v>36.336918891687652</v>
      </c>
      <c r="P103" s="45" t="s">
        <v>240</v>
      </c>
      <c r="Q103" s="12" t="s">
        <v>232</v>
      </c>
    </row>
    <row r="104" spans="1:17" s="53" customFormat="1" x14ac:dyDescent="0.2">
      <c r="A104" s="42" t="s">
        <v>34</v>
      </c>
      <c r="B104" s="43" t="s">
        <v>235</v>
      </c>
      <c r="C104" s="44">
        <v>3612</v>
      </c>
      <c r="D104" s="42">
        <f t="shared" ref="D104:D167" si="2">C104</f>
        <v>3612</v>
      </c>
      <c r="E104" s="45"/>
      <c r="F104" s="44" t="s">
        <v>236</v>
      </c>
      <c r="G104" s="44" t="s">
        <v>241</v>
      </c>
      <c r="H104" s="44" t="s">
        <v>238</v>
      </c>
      <c r="I104" s="46">
        <v>40.44</v>
      </c>
      <c r="J104" s="47" t="s">
        <v>239</v>
      </c>
      <c r="K104" s="48">
        <v>0</v>
      </c>
      <c r="L104" s="49">
        <f t="shared" ref="L104:L167" si="3">I104</f>
        <v>40.44</v>
      </c>
      <c r="M104" s="50">
        <v>0.1082</v>
      </c>
      <c r="N104" s="51">
        <f t="shared" ref="N104:N167" si="4">I104-(I104*M104)</f>
        <v>36.064391999999998</v>
      </c>
      <c r="O104" s="52">
        <f t="shared" ref="O104:O167" si="5">N104/0.9925</f>
        <v>36.336918891687652</v>
      </c>
      <c r="P104" s="45" t="s">
        <v>240</v>
      </c>
      <c r="Q104" s="12" t="s">
        <v>232</v>
      </c>
    </row>
    <row r="105" spans="1:17" s="53" customFormat="1" x14ac:dyDescent="0.2">
      <c r="A105" s="42" t="s">
        <v>34</v>
      </c>
      <c r="B105" s="43" t="s">
        <v>235</v>
      </c>
      <c r="C105" s="44">
        <v>3620</v>
      </c>
      <c r="D105" s="42">
        <f t="shared" si="2"/>
        <v>3620</v>
      </c>
      <c r="E105" s="45"/>
      <c r="F105" s="44" t="s">
        <v>236</v>
      </c>
      <c r="G105" s="44" t="s">
        <v>242</v>
      </c>
      <c r="H105" s="44" t="s">
        <v>238</v>
      </c>
      <c r="I105" s="46">
        <v>40.44</v>
      </c>
      <c r="J105" s="47" t="s">
        <v>239</v>
      </c>
      <c r="K105" s="48">
        <v>0</v>
      </c>
      <c r="L105" s="49">
        <f t="shared" si="3"/>
        <v>40.44</v>
      </c>
      <c r="M105" s="50">
        <v>0.1082</v>
      </c>
      <c r="N105" s="51">
        <f t="shared" si="4"/>
        <v>36.064391999999998</v>
      </c>
      <c r="O105" s="52">
        <f t="shared" si="5"/>
        <v>36.336918891687652</v>
      </c>
      <c r="P105" s="45" t="s">
        <v>240</v>
      </c>
      <c r="Q105" s="12" t="s">
        <v>232</v>
      </c>
    </row>
    <row r="106" spans="1:17" s="53" customFormat="1" x14ac:dyDescent="0.2">
      <c r="A106" s="42" t="s">
        <v>34</v>
      </c>
      <c r="B106" s="43" t="s">
        <v>235</v>
      </c>
      <c r="C106" s="44">
        <v>3630</v>
      </c>
      <c r="D106" s="42">
        <f t="shared" si="2"/>
        <v>3630</v>
      </c>
      <c r="E106" s="45"/>
      <c r="F106" s="44" t="s">
        <v>236</v>
      </c>
      <c r="G106" s="44" t="s">
        <v>243</v>
      </c>
      <c r="H106" s="44" t="s">
        <v>238</v>
      </c>
      <c r="I106" s="46">
        <v>40.44</v>
      </c>
      <c r="J106" s="47" t="s">
        <v>239</v>
      </c>
      <c r="K106" s="48">
        <v>0</v>
      </c>
      <c r="L106" s="49">
        <f t="shared" si="3"/>
        <v>40.44</v>
      </c>
      <c r="M106" s="50">
        <v>0.1082</v>
      </c>
      <c r="N106" s="51">
        <f t="shared" si="4"/>
        <v>36.064391999999998</v>
      </c>
      <c r="O106" s="52">
        <f t="shared" si="5"/>
        <v>36.336918891687652</v>
      </c>
      <c r="P106" s="45" t="s">
        <v>240</v>
      </c>
      <c r="Q106" s="12" t="s">
        <v>232</v>
      </c>
    </row>
    <row r="107" spans="1:17" s="53" customFormat="1" x14ac:dyDescent="0.2">
      <c r="A107" s="42" t="s">
        <v>34</v>
      </c>
      <c r="B107" s="43" t="s">
        <v>235</v>
      </c>
      <c r="C107" s="54">
        <v>3700</v>
      </c>
      <c r="D107" s="42">
        <f t="shared" si="2"/>
        <v>3700</v>
      </c>
      <c r="E107" s="45"/>
      <c r="F107" s="44" t="s">
        <v>236</v>
      </c>
      <c r="G107" s="54" t="s">
        <v>244</v>
      </c>
      <c r="H107" s="44" t="s">
        <v>238</v>
      </c>
      <c r="I107" s="46">
        <v>40.44</v>
      </c>
      <c r="J107" s="47" t="s">
        <v>239</v>
      </c>
      <c r="K107" s="48">
        <v>0</v>
      </c>
      <c r="L107" s="49">
        <f t="shared" si="3"/>
        <v>40.44</v>
      </c>
      <c r="M107" s="50">
        <v>0.1082</v>
      </c>
      <c r="N107" s="51">
        <f t="shared" si="4"/>
        <v>36.064391999999998</v>
      </c>
      <c r="O107" s="52">
        <f t="shared" si="5"/>
        <v>36.336918891687652</v>
      </c>
      <c r="P107" s="45" t="s">
        <v>240</v>
      </c>
      <c r="Q107" s="12" t="s">
        <v>232</v>
      </c>
    </row>
    <row r="108" spans="1:17" s="53" customFormat="1" x14ac:dyDescent="0.2">
      <c r="A108" s="42" t="s">
        <v>34</v>
      </c>
      <c r="B108" s="43" t="s">
        <v>235</v>
      </c>
      <c r="C108" s="44">
        <v>3715</v>
      </c>
      <c r="D108" s="42">
        <f t="shared" si="2"/>
        <v>3715</v>
      </c>
      <c r="E108" s="45"/>
      <c r="F108" s="44" t="s">
        <v>236</v>
      </c>
      <c r="G108" s="44" t="s">
        <v>245</v>
      </c>
      <c r="H108" s="44" t="s">
        <v>238</v>
      </c>
      <c r="I108" s="46">
        <v>40.44</v>
      </c>
      <c r="J108" s="47" t="s">
        <v>239</v>
      </c>
      <c r="K108" s="48">
        <v>0</v>
      </c>
      <c r="L108" s="49">
        <f t="shared" si="3"/>
        <v>40.44</v>
      </c>
      <c r="M108" s="50">
        <v>0.1082</v>
      </c>
      <c r="N108" s="51">
        <f t="shared" si="4"/>
        <v>36.064391999999998</v>
      </c>
      <c r="O108" s="52">
        <f t="shared" si="5"/>
        <v>36.336918891687652</v>
      </c>
      <c r="P108" s="45" t="s">
        <v>240</v>
      </c>
      <c r="Q108" s="12" t="s">
        <v>232</v>
      </c>
    </row>
    <row r="109" spans="1:17" s="53" customFormat="1" x14ac:dyDescent="0.2">
      <c r="A109" s="42" t="s">
        <v>34</v>
      </c>
      <c r="B109" s="43" t="s">
        <v>235</v>
      </c>
      <c r="C109" s="54">
        <v>3801</v>
      </c>
      <c r="D109" s="42">
        <f t="shared" si="2"/>
        <v>3801</v>
      </c>
      <c r="E109" s="45"/>
      <c r="F109" s="44" t="s">
        <v>236</v>
      </c>
      <c r="G109" s="54" t="s">
        <v>246</v>
      </c>
      <c r="H109" s="44" t="s">
        <v>238</v>
      </c>
      <c r="I109" s="46">
        <v>40.44</v>
      </c>
      <c r="J109" s="47" t="s">
        <v>239</v>
      </c>
      <c r="K109" s="48">
        <v>0</v>
      </c>
      <c r="L109" s="49">
        <f t="shared" si="3"/>
        <v>40.44</v>
      </c>
      <c r="M109" s="50">
        <v>0.1082</v>
      </c>
      <c r="N109" s="51">
        <f t="shared" si="4"/>
        <v>36.064391999999998</v>
      </c>
      <c r="O109" s="52">
        <f t="shared" si="5"/>
        <v>36.336918891687652</v>
      </c>
      <c r="P109" s="45" t="s">
        <v>240</v>
      </c>
      <c r="Q109" s="12" t="s">
        <v>232</v>
      </c>
    </row>
    <row r="110" spans="1:17" s="53" customFormat="1" x14ac:dyDescent="0.2">
      <c r="A110" s="42" t="s">
        <v>34</v>
      </c>
      <c r="B110" s="43" t="s">
        <v>235</v>
      </c>
      <c r="C110" s="54">
        <v>3901</v>
      </c>
      <c r="D110" s="42">
        <f t="shared" si="2"/>
        <v>3901</v>
      </c>
      <c r="E110" s="45"/>
      <c r="F110" s="44" t="s">
        <v>236</v>
      </c>
      <c r="G110" s="54" t="s">
        <v>247</v>
      </c>
      <c r="H110" s="44" t="s">
        <v>238</v>
      </c>
      <c r="I110" s="46">
        <v>40.44</v>
      </c>
      <c r="J110" s="47" t="s">
        <v>239</v>
      </c>
      <c r="K110" s="48">
        <v>0</v>
      </c>
      <c r="L110" s="49">
        <f t="shared" si="3"/>
        <v>40.44</v>
      </c>
      <c r="M110" s="50">
        <v>0.1082</v>
      </c>
      <c r="N110" s="51">
        <f t="shared" si="4"/>
        <v>36.064391999999998</v>
      </c>
      <c r="O110" s="52">
        <f t="shared" si="5"/>
        <v>36.336918891687652</v>
      </c>
      <c r="P110" s="45" t="s">
        <v>240</v>
      </c>
      <c r="Q110" s="12" t="s">
        <v>232</v>
      </c>
    </row>
    <row r="111" spans="1:17" s="53" customFormat="1" x14ac:dyDescent="0.2">
      <c r="A111" s="42" t="s">
        <v>34</v>
      </c>
      <c r="B111" s="43" t="s">
        <v>235</v>
      </c>
      <c r="C111" s="44">
        <v>3903</v>
      </c>
      <c r="D111" s="42">
        <f t="shared" si="2"/>
        <v>3903</v>
      </c>
      <c r="E111" s="45"/>
      <c r="F111" s="44" t="s">
        <v>236</v>
      </c>
      <c r="G111" s="44" t="s">
        <v>248</v>
      </c>
      <c r="H111" s="44" t="s">
        <v>238</v>
      </c>
      <c r="I111" s="46">
        <v>40.44</v>
      </c>
      <c r="J111" s="47" t="s">
        <v>239</v>
      </c>
      <c r="K111" s="48">
        <v>0</v>
      </c>
      <c r="L111" s="49">
        <f t="shared" si="3"/>
        <v>40.44</v>
      </c>
      <c r="M111" s="50">
        <v>0.1082</v>
      </c>
      <c r="N111" s="51">
        <f t="shared" si="4"/>
        <v>36.064391999999998</v>
      </c>
      <c r="O111" s="52">
        <f t="shared" si="5"/>
        <v>36.336918891687652</v>
      </c>
      <c r="P111" s="45" t="s">
        <v>240</v>
      </c>
      <c r="Q111" s="12" t="s">
        <v>232</v>
      </c>
    </row>
    <row r="112" spans="1:17" s="53" customFormat="1" x14ac:dyDescent="0.2">
      <c r="A112" s="42" t="s">
        <v>34</v>
      </c>
      <c r="B112" s="43" t="s">
        <v>235</v>
      </c>
      <c r="C112" s="44">
        <v>3904</v>
      </c>
      <c r="D112" s="42">
        <f t="shared" si="2"/>
        <v>3904</v>
      </c>
      <c r="E112" s="45"/>
      <c r="F112" s="44" t="s">
        <v>236</v>
      </c>
      <c r="G112" s="44" t="s">
        <v>249</v>
      </c>
      <c r="H112" s="44" t="s">
        <v>238</v>
      </c>
      <c r="I112" s="46">
        <v>40.44</v>
      </c>
      <c r="J112" s="47" t="s">
        <v>239</v>
      </c>
      <c r="K112" s="48">
        <v>0</v>
      </c>
      <c r="L112" s="49">
        <f t="shared" si="3"/>
        <v>40.44</v>
      </c>
      <c r="M112" s="50">
        <v>0.1082</v>
      </c>
      <c r="N112" s="51">
        <f t="shared" si="4"/>
        <v>36.064391999999998</v>
      </c>
      <c r="O112" s="52">
        <f t="shared" si="5"/>
        <v>36.336918891687652</v>
      </c>
      <c r="P112" s="45" t="s">
        <v>240</v>
      </c>
      <c r="Q112" s="12" t="s">
        <v>232</v>
      </c>
    </row>
    <row r="113" spans="1:17" s="53" customFormat="1" x14ac:dyDescent="0.2">
      <c r="A113" s="42" t="s">
        <v>34</v>
      </c>
      <c r="B113" s="43" t="s">
        <v>235</v>
      </c>
      <c r="C113" s="44">
        <v>3911</v>
      </c>
      <c r="D113" s="42">
        <f t="shared" si="2"/>
        <v>3911</v>
      </c>
      <c r="E113" s="45"/>
      <c r="F113" s="44" t="s">
        <v>236</v>
      </c>
      <c r="G113" s="44" t="s">
        <v>250</v>
      </c>
      <c r="H113" s="44" t="s">
        <v>238</v>
      </c>
      <c r="I113" s="46">
        <v>40.44</v>
      </c>
      <c r="J113" s="47" t="s">
        <v>239</v>
      </c>
      <c r="K113" s="48">
        <v>0</v>
      </c>
      <c r="L113" s="49">
        <f t="shared" si="3"/>
        <v>40.44</v>
      </c>
      <c r="M113" s="50">
        <v>0.1082</v>
      </c>
      <c r="N113" s="51">
        <f t="shared" si="4"/>
        <v>36.064391999999998</v>
      </c>
      <c r="O113" s="52">
        <f t="shared" si="5"/>
        <v>36.336918891687652</v>
      </c>
      <c r="P113" s="45" t="s">
        <v>240</v>
      </c>
      <c r="Q113" s="12" t="s">
        <v>232</v>
      </c>
    </row>
    <row r="114" spans="1:17" s="53" customFormat="1" x14ac:dyDescent="0.2">
      <c r="A114" s="42" t="s">
        <v>34</v>
      </c>
      <c r="B114" s="43" t="s">
        <v>235</v>
      </c>
      <c r="C114" s="44">
        <v>3500</v>
      </c>
      <c r="D114" s="42">
        <f t="shared" si="2"/>
        <v>3500</v>
      </c>
      <c r="E114" s="45"/>
      <c r="F114" s="44" t="s">
        <v>236</v>
      </c>
      <c r="G114" s="44" t="s">
        <v>251</v>
      </c>
      <c r="H114" s="44" t="s">
        <v>238</v>
      </c>
      <c r="I114" s="46">
        <v>40.44</v>
      </c>
      <c r="J114" s="47" t="s">
        <v>239</v>
      </c>
      <c r="K114" s="48">
        <v>0</v>
      </c>
      <c r="L114" s="49">
        <f t="shared" si="3"/>
        <v>40.44</v>
      </c>
      <c r="M114" s="50">
        <v>0.1082</v>
      </c>
      <c r="N114" s="51">
        <f t="shared" si="4"/>
        <v>36.064391999999998</v>
      </c>
      <c r="O114" s="52">
        <f t="shared" si="5"/>
        <v>36.336918891687652</v>
      </c>
      <c r="P114" s="45" t="s">
        <v>240</v>
      </c>
      <c r="Q114" s="12" t="s">
        <v>232</v>
      </c>
    </row>
    <row r="115" spans="1:17" s="53" customFormat="1" x14ac:dyDescent="0.2">
      <c r="A115" s="42" t="s">
        <v>34</v>
      </c>
      <c r="B115" s="43" t="s">
        <v>235</v>
      </c>
      <c r="C115" s="44">
        <v>3650</v>
      </c>
      <c r="D115" s="42">
        <f t="shared" si="2"/>
        <v>3650</v>
      </c>
      <c r="E115" s="45"/>
      <c r="F115" s="44" t="s">
        <v>236</v>
      </c>
      <c r="G115" s="44" t="s">
        <v>252</v>
      </c>
      <c r="H115" s="44" t="s">
        <v>238</v>
      </c>
      <c r="I115" s="46">
        <v>40.44</v>
      </c>
      <c r="J115" s="47" t="s">
        <v>239</v>
      </c>
      <c r="K115" s="48">
        <v>0</v>
      </c>
      <c r="L115" s="49">
        <f t="shared" si="3"/>
        <v>40.44</v>
      </c>
      <c r="M115" s="50">
        <v>0.1082</v>
      </c>
      <c r="N115" s="51">
        <f t="shared" si="4"/>
        <v>36.064391999999998</v>
      </c>
      <c r="O115" s="52">
        <f t="shared" si="5"/>
        <v>36.336918891687652</v>
      </c>
      <c r="P115" s="45" t="s">
        <v>240</v>
      </c>
      <c r="Q115" s="12" t="s">
        <v>232</v>
      </c>
    </row>
    <row r="116" spans="1:17" s="53" customFormat="1" x14ac:dyDescent="0.2">
      <c r="A116" s="42" t="s">
        <v>34</v>
      </c>
      <c r="B116" s="43" t="s">
        <v>235</v>
      </c>
      <c r="C116" s="44">
        <v>3905</v>
      </c>
      <c r="D116" s="42">
        <f t="shared" si="2"/>
        <v>3905</v>
      </c>
      <c r="E116" s="45"/>
      <c r="F116" s="44" t="s">
        <v>236</v>
      </c>
      <c r="G116" s="44" t="s">
        <v>253</v>
      </c>
      <c r="H116" s="44" t="s">
        <v>238</v>
      </c>
      <c r="I116" s="46">
        <v>40.44</v>
      </c>
      <c r="J116" s="47" t="s">
        <v>239</v>
      </c>
      <c r="K116" s="48">
        <v>0</v>
      </c>
      <c r="L116" s="49">
        <f t="shared" si="3"/>
        <v>40.44</v>
      </c>
      <c r="M116" s="50">
        <v>0.1082</v>
      </c>
      <c r="N116" s="51">
        <f t="shared" si="4"/>
        <v>36.064391999999998</v>
      </c>
      <c r="O116" s="52">
        <f t="shared" si="5"/>
        <v>36.336918891687652</v>
      </c>
      <c r="P116" s="45" t="s">
        <v>240</v>
      </c>
      <c r="Q116" s="12" t="s">
        <v>232</v>
      </c>
    </row>
    <row r="117" spans="1:17" s="53" customFormat="1" x14ac:dyDescent="0.2">
      <c r="A117" s="42" t="s">
        <v>34</v>
      </c>
      <c r="B117" s="43" t="s">
        <v>235</v>
      </c>
      <c r="C117" s="44">
        <v>3921</v>
      </c>
      <c r="D117" s="42">
        <f t="shared" si="2"/>
        <v>3921</v>
      </c>
      <c r="E117" s="45"/>
      <c r="F117" s="44" t="s">
        <v>236</v>
      </c>
      <c r="G117" s="44" t="s">
        <v>254</v>
      </c>
      <c r="H117" s="44" t="s">
        <v>238</v>
      </c>
      <c r="I117" s="46">
        <v>40.44</v>
      </c>
      <c r="J117" s="47" t="s">
        <v>239</v>
      </c>
      <c r="K117" s="48">
        <v>0</v>
      </c>
      <c r="L117" s="49">
        <f t="shared" si="3"/>
        <v>40.44</v>
      </c>
      <c r="M117" s="50">
        <v>0.1082</v>
      </c>
      <c r="N117" s="51">
        <f t="shared" si="4"/>
        <v>36.064391999999998</v>
      </c>
      <c r="O117" s="52">
        <f t="shared" si="5"/>
        <v>36.336918891687652</v>
      </c>
      <c r="P117" s="45" t="s">
        <v>240</v>
      </c>
      <c r="Q117" s="12" t="s">
        <v>232</v>
      </c>
    </row>
    <row r="118" spans="1:17" s="53" customFormat="1" x14ac:dyDescent="0.2">
      <c r="A118" s="42" t="s">
        <v>34</v>
      </c>
      <c r="B118" s="43" t="s">
        <v>235</v>
      </c>
      <c r="C118" s="54">
        <v>3550</v>
      </c>
      <c r="D118" s="42">
        <f t="shared" si="2"/>
        <v>3550</v>
      </c>
      <c r="E118" s="45"/>
      <c r="F118" s="54" t="s">
        <v>255</v>
      </c>
      <c r="G118" s="54" t="s">
        <v>256</v>
      </c>
      <c r="H118" s="44" t="s">
        <v>238</v>
      </c>
      <c r="I118" s="55">
        <v>43.44</v>
      </c>
      <c r="J118" s="47" t="s">
        <v>239</v>
      </c>
      <c r="K118" s="48">
        <v>0</v>
      </c>
      <c r="L118" s="49">
        <f t="shared" si="3"/>
        <v>43.44</v>
      </c>
      <c r="M118" s="50">
        <v>0.1082</v>
      </c>
      <c r="N118" s="51">
        <f t="shared" si="4"/>
        <v>38.739791999999994</v>
      </c>
      <c r="O118" s="52">
        <f t="shared" si="5"/>
        <v>39.032536020151127</v>
      </c>
      <c r="P118" s="45" t="s">
        <v>240</v>
      </c>
      <c r="Q118" s="12" t="s">
        <v>232</v>
      </c>
    </row>
    <row r="119" spans="1:17" s="53" customFormat="1" x14ac:dyDescent="0.2">
      <c r="A119" s="42" t="s">
        <v>34</v>
      </c>
      <c r="B119" s="43" t="s">
        <v>235</v>
      </c>
      <c r="C119" s="54">
        <v>3611</v>
      </c>
      <c r="D119" s="42">
        <f t="shared" si="2"/>
        <v>3611</v>
      </c>
      <c r="E119" s="45"/>
      <c r="F119" s="54" t="s">
        <v>255</v>
      </c>
      <c r="G119" s="54" t="s">
        <v>257</v>
      </c>
      <c r="H119" s="44" t="s">
        <v>238</v>
      </c>
      <c r="I119" s="55">
        <v>43.44</v>
      </c>
      <c r="J119" s="47" t="s">
        <v>239</v>
      </c>
      <c r="K119" s="48">
        <v>0</v>
      </c>
      <c r="L119" s="49">
        <f t="shared" si="3"/>
        <v>43.44</v>
      </c>
      <c r="M119" s="50">
        <v>0.1082</v>
      </c>
      <c r="N119" s="51">
        <f t="shared" si="4"/>
        <v>38.739791999999994</v>
      </c>
      <c r="O119" s="52">
        <f t="shared" si="5"/>
        <v>39.032536020151127</v>
      </c>
      <c r="P119" s="45" t="s">
        <v>240</v>
      </c>
      <c r="Q119" s="12" t="s">
        <v>232</v>
      </c>
    </row>
    <row r="120" spans="1:17" s="53" customFormat="1" x14ac:dyDescent="0.2">
      <c r="A120" s="42" t="s">
        <v>34</v>
      </c>
      <c r="B120" s="43" t="s">
        <v>235</v>
      </c>
      <c r="C120" s="54">
        <v>3613</v>
      </c>
      <c r="D120" s="42">
        <f t="shared" si="2"/>
        <v>3613</v>
      </c>
      <c r="E120" s="45"/>
      <c r="F120" s="54" t="s">
        <v>255</v>
      </c>
      <c r="G120" s="54" t="s">
        <v>237</v>
      </c>
      <c r="H120" s="44" t="s">
        <v>238</v>
      </c>
      <c r="I120" s="55">
        <v>43.44</v>
      </c>
      <c r="J120" s="47" t="s">
        <v>239</v>
      </c>
      <c r="K120" s="48">
        <v>0</v>
      </c>
      <c r="L120" s="49">
        <f t="shared" si="3"/>
        <v>43.44</v>
      </c>
      <c r="M120" s="50">
        <v>0.1082</v>
      </c>
      <c r="N120" s="51">
        <f t="shared" si="4"/>
        <v>38.739791999999994</v>
      </c>
      <c r="O120" s="52">
        <f t="shared" si="5"/>
        <v>39.032536020151127</v>
      </c>
      <c r="P120" s="45" t="s">
        <v>240</v>
      </c>
      <c r="Q120" s="12" t="s">
        <v>232</v>
      </c>
    </row>
    <row r="121" spans="1:17" s="53" customFormat="1" x14ac:dyDescent="0.2">
      <c r="A121" s="42" t="s">
        <v>34</v>
      </c>
      <c r="B121" s="43" t="s">
        <v>235</v>
      </c>
      <c r="C121" s="54">
        <v>3614</v>
      </c>
      <c r="D121" s="42">
        <f t="shared" si="2"/>
        <v>3614</v>
      </c>
      <c r="E121" s="45"/>
      <c r="F121" s="54" t="s">
        <v>255</v>
      </c>
      <c r="G121" s="44" t="s">
        <v>258</v>
      </c>
      <c r="H121" s="44" t="s">
        <v>238</v>
      </c>
      <c r="I121" s="55">
        <v>43.44</v>
      </c>
      <c r="J121" s="47" t="s">
        <v>239</v>
      </c>
      <c r="K121" s="48">
        <v>0</v>
      </c>
      <c r="L121" s="49">
        <f t="shared" si="3"/>
        <v>43.44</v>
      </c>
      <c r="M121" s="50">
        <v>0.1082</v>
      </c>
      <c r="N121" s="51">
        <f t="shared" si="4"/>
        <v>38.739791999999994</v>
      </c>
      <c r="O121" s="52">
        <f t="shared" si="5"/>
        <v>39.032536020151127</v>
      </c>
      <c r="P121" s="45" t="s">
        <v>240</v>
      </c>
      <c r="Q121" s="12" t="s">
        <v>232</v>
      </c>
    </row>
    <row r="122" spans="1:17" s="53" customFormat="1" x14ac:dyDescent="0.2">
      <c r="A122" s="42" t="s">
        <v>34</v>
      </c>
      <c r="B122" s="43" t="s">
        <v>235</v>
      </c>
      <c r="C122" s="54">
        <v>3615</v>
      </c>
      <c r="D122" s="42">
        <f t="shared" si="2"/>
        <v>3615</v>
      </c>
      <c r="E122" s="45"/>
      <c r="F122" s="54" t="s">
        <v>255</v>
      </c>
      <c r="G122" s="44" t="s">
        <v>245</v>
      </c>
      <c r="H122" s="44" t="s">
        <v>238</v>
      </c>
      <c r="I122" s="55">
        <v>43.44</v>
      </c>
      <c r="J122" s="47" t="s">
        <v>239</v>
      </c>
      <c r="K122" s="48">
        <v>0</v>
      </c>
      <c r="L122" s="49">
        <f t="shared" si="3"/>
        <v>43.44</v>
      </c>
      <c r="M122" s="50">
        <v>0.1082</v>
      </c>
      <c r="N122" s="51">
        <f t="shared" si="4"/>
        <v>38.739791999999994</v>
      </c>
      <c r="O122" s="52">
        <f t="shared" si="5"/>
        <v>39.032536020151127</v>
      </c>
      <c r="P122" s="45" t="s">
        <v>240</v>
      </c>
      <c r="Q122" s="12" t="s">
        <v>232</v>
      </c>
    </row>
    <row r="123" spans="1:17" s="53" customFormat="1" x14ac:dyDescent="0.2">
      <c r="A123" s="42" t="s">
        <v>34</v>
      </c>
      <c r="B123" s="43" t="s">
        <v>235</v>
      </c>
      <c r="C123" s="54">
        <v>3621</v>
      </c>
      <c r="D123" s="42">
        <f t="shared" si="2"/>
        <v>3621</v>
      </c>
      <c r="E123" s="45"/>
      <c r="F123" s="54" t="s">
        <v>255</v>
      </c>
      <c r="G123" s="44" t="s">
        <v>248</v>
      </c>
      <c r="H123" s="44" t="s">
        <v>238</v>
      </c>
      <c r="I123" s="55">
        <v>43.44</v>
      </c>
      <c r="J123" s="47" t="s">
        <v>239</v>
      </c>
      <c r="K123" s="48">
        <v>0</v>
      </c>
      <c r="L123" s="49">
        <f t="shared" si="3"/>
        <v>43.44</v>
      </c>
      <c r="M123" s="50">
        <v>0.1082</v>
      </c>
      <c r="N123" s="51">
        <f t="shared" si="4"/>
        <v>38.739791999999994</v>
      </c>
      <c r="O123" s="52">
        <f t="shared" si="5"/>
        <v>39.032536020151127</v>
      </c>
      <c r="P123" s="45" t="s">
        <v>240</v>
      </c>
      <c r="Q123" s="12" t="s">
        <v>232</v>
      </c>
    </row>
    <row r="124" spans="1:17" s="53" customFormat="1" x14ac:dyDescent="0.2">
      <c r="A124" s="42" t="s">
        <v>34</v>
      </c>
      <c r="B124" s="43" t="s">
        <v>235</v>
      </c>
      <c r="C124" s="54">
        <v>3622</v>
      </c>
      <c r="D124" s="42">
        <f t="shared" si="2"/>
        <v>3622</v>
      </c>
      <c r="E124" s="45"/>
      <c r="F124" s="54" t="s">
        <v>255</v>
      </c>
      <c r="G124" s="44" t="s">
        <v>259</v>
      </c>
      <c r="H124" s="44" t="s">
        <v>238</v>
      </c>
      <c r="I124" s="55">
        <v>43.44</v>
      </c>
      <c r="J124" s="47" t="s">
        <v>239</v>
      </c>
      <c r="K124" s="48">
        <v>0</v>
      </c>
      <c r="L124" s="49">
        <f t="shared" si="3"/>
        <v>43.44</v>
      </c>
      <c r="M124" s="50">
        <v>0.1082</v>
      </c>
      <c r="N124" s="51">
        <f t="shared" si="4"/>
        <v>38.739791999999994</v>
      </c>
      <c r="O124" s="52">
        <f t="shared" si="5"/>
        <v>39.032536020151127</v>
      </c>
      <c r="P124" s="45" t="s">
        <v>240</v>
      </c>
      <c r="Q124" s="12" t="s">
        <v>232</v>
      </c>
    </row>
    <row r="125" spans="1:17" s="53" customFormat="1" x14ac:dyDescent="0.2">
      <c r="A125" s="42" t="s">
        <v>34</v>
      </c>
      <c r="B125" s="43" t="s">
        <v>235</v>
      </c>
      <c r="C125" s="54">
        <v>3631</v>
      </c>
      <c r="D125" s="42">
        <f t="shared" si="2"/>
        <v>3631</v>
      </c>
      <c r="E125" s="45"/>
      <c r="F125" s="54" t="s">
        <v>255</v>
      </c>
      <c r="G125" s="44" t="s">
        <v>249</v>
      </c>
      <c r="H125" s="44" t="s">
        <v>238</v>
      </c>
      <c r="I125" s="55">
        <v>43.44</v>
      </c>
      <c r="J125" s="47" t="s">
        <v>239</v>
      </c>
      <c r="K125" s="48">
        <v>0</v>
      </c>
      <c r="L125" s="49">
        <f t="shared" si="3"/>
        <v>43.44</v>
      </c>
      <c r="M125" s="50">
        <v>0.1082</v>
      </c>
      <c r="N125" s="51">
        <f t="shared" si="4"/>
        <v>38.739791999999994</v>
      </c>
      <c r="O125" s="52">
        <f t="shared" si="5"/>
        <v>39.032536020151127</v>
      </c>
      <c r="P125" s="45" t="s">
        <v>240</v>
      </c>
      <c r="Q125" s="12" t="s">
        <v>232</v>
      </c>
    </row>
    <row r="126" spans="1:17" s="53" customFormat="1" x14ac:dyDescent="0.2">
      <c r="A126" s="42" t="s">
        <v>34</v>
      </c>
      <c r="B126" s="43" t="s">
        <v>235</v>
      </c>
      <c r="C126" s="54">
        <v>3701</v>
      </c>
      <c r="D126" s="42">
        <f t="shared" si="2"/>
        <v>3701</v>
      </c>
      <c r="E126" s="45"/>
      <c r="F126" s="54" t="s">
        <v>255</v>
      </c>
      <c r="G126" s="44" t="s">
        <v>252</v>
      </c>
      <c r="H126" s="44" t="s">
        <v>238</v>
      </c>
      <c r="I126" s="55">
        <v>43.44</v>
      </c>
      <c r="J126" s="47" t="s">
        <v>239</v>
      </c>
      <c r="K126" s="48">
        <v>0</v>
      </c>
      <c r="L126" s="49">
        <f t="shared" si="3"/>
        <v>43.44</v>
      </c>
      <c r="M126" s="50">
        <v>0.1082</v>
      </c>
      <c r="N126" s="51">
        <f t="shared" si="4"/>
        <v>38.739791999999994</v>
      </c>
      <c r="O126" s="52">
        <f t="shared" si="5"/>
        <v>39.032536020151127</v>
      </c>
      <c r="P126" s="45" t="s">
        <v>240</v>
      </c>
      <c r="Q126" s="12" t="s">
        <v>232</v>
      </c>
    </row>
    <row r="127" spans="1:17" s="53" customFormat="1" x14ac:dyDescent="0.2">
      <c r="A127" s="42" t="s">
        <v>34</v>
      </c>
      <c r="B127" s="43" t="s">
        <v>235</v>
      </c>
      <c r="C127" s="54">
        <v>3702</v>
      </c>
      <c r="D127" s="42">
        <f t="shared" si="2"/>
        <v>3702</v>
      </c>
      <c r="E127" s="45"/>
      <c r="F127" s="54" t="s">
        <v>255</v>
      </c>
      <c r="G127" s="44" t="s">
        <v>244</v>
      </c>
      <c r="H127" s="44" t="s">
        <v>238</v>
      </c>
      <c r="I127" s="55">
        <v>43.44</v>
      </c>
      <c r="J127" s="47" t="s">
        <v>239</v>
      </c>
      <c r="K127" s="48">
        <v>0</v>
      </c>
      <c r="L127" s="49">
        <f t="shared" si="3"/>
        <v>43.44</v>
      </c>
      <c r="M127" s="50">
        <v>0.1082</v>
      </c>
      <c r="N127" s="51">
        <f t="shared" si="4"/>
        <v>38.739791999999994</v>
      </c>
      <c r="O127" s="52">
        <f t="shared" si="5"/>
        <v>39.032536020151127</v>
      </c>
      <c r="P127" s="45" t="s">
        <v>240</v>
      </c>
      <c r="Q127" s="12" t="s">
        <v>232</v>
      </c>
    </row>
    <row r="128" spans="1:17" s="53" customFormat="1" x14ac:dyDescent="0.2">
      <c r="A128" s="42" t="s">
        <v>34</v>
      </c>
      <c r="B128" s="43" t="s">
        <v>235</v>
      </c>
      <c r="C128" s="54">
        <v>3731</v>
      </c>
      <c r="D128" s="42">
        <f t="shared" si="2"/>
        <v>3731</v>
      </c>
      <c r="E128" s="45"/>
      <c r="F128" s="54" t="s">
        <v>255</v>
      </c>
      <c r="G128" s="44" t="s">
        <v>253</v>
      </c>
      <c r="H128" s="44" t="s">
        <v>238</v>
      </c>
      <c r="I128" s="55">
        <v>43.44</v>
      </c>
      <c r="J128" s="47" t="s">
        <v>239</v>
      </c>
      <c r="K128" s="48">
        <v>0</v>
      </c>
      <c r="L128" s="49">
        <f t="shared" si="3"/>
        <v>43.44</v>
      </c>
      <c r="M128" s="50">
        <v>0.1082</v>
      </c>
      <c r="N128" s="51">
        <f t="shared" si="4"/>
        <v>38.739791999999994</v>
      </c>
      <c r="O128" s="52">
        <f t="shared" si="5"/>
        <v>39.032536020151127</v>
      </c>
      <c r="P128" s="45" t="s">
        <v>240</v>
      </c>
      <c r="Q128" s="12" t="s">
        <v>232</v>
      </c>
    </row>
    <row r="129" spans="1:17" s="53" customFormat="1" x14ac:dyDescent="0.2">
      <c r="A129" s="42" t="s">
        <v>34</v>
      </c>
      <c r="B129" s="43" t="s">
        <v>235</v>
      </c>
      <c r="C129" s="54">
        <v>3821</v>
      </c>
      <c r="D129" s="42">
        <f t="shared" si="2"/>
        <v>3821</v>
      </c>
      <c r="E129" s="45"/>
      <c r="F129" s="54" t="s">
        <v>255</v>
      </c>
      <c r="G129" s="44" t="s">
        <v>260</v>
      </c>
      <c r="H129" s="44" t="s">
        <v>238</v>
      </c>
      <c r="I129" s="55">
        <v>43.44</v>
      </c>
      <c r="J129" s="47" t="s">
        <v>239</v>
      </c>
      <c r="K129" s="48">
        <v>0</v>
      </c>
      <c r="L129" s="49">
        <f t="shared" si="3"/>
        <v>43.44</v>
      </c>
      <c r="M129" s="50">
        <v>0.1082</v>
      </c>
      <c r="N129" s="51">
        <f t="shared" si="4"/>
        <v>38.739791999999994</v>
      </c>
      <c r="O129" s="52">
        <f t="shared" si="5"/>
        <v>39.032536020151127</v>
      </c>
      <c r="P129" s="45" t="s">
        <v>240</v>
      </c>
      <c r="Q129" s="12" t="s">
        <v>232</v>
      </c>
    </row>
    <row r="130" spans="1:17" s="53" customFormat="1" x14ac:dyDescent="0.2">
      <c r="A130" s="42" t="s">
        <v>34</v>
      </c>
      <c r="B130" s="43" t="s">
        <v>235</v>
      </c>
      <c r="C130" s="54">
        <v>3900</v>
      </c>
      <c r="D130" s="42">
        <f t="shared" si="2"/>
        <v>3900</v>
      </c>
      <c r="E130" s="45"/>
      <c r="F130" s="54" t="s">
        <v>255</v>
      </c>
      <c r="G130" s="44" t="s">
        <v>261</v>
      </c>
      <c r="H130" s="44" t="s">
        <v>238</v>
      </c>
      <c r="I130" s="55">
        <v>43.44</v>
      </c>
      <c r="J130" s="47" t="s">
        <v>239</v>
      </c>
      <c r="K130" s="48">
        <v>0</v>
      </c>
      <c r="L130" s="49">
        <f t="shared" si="3"/>
        <v>43.44</v>
      </c>
      <c r="M130" s="50">
        <v>0.1082</v>
      </c>
      <c r="N130" s="51">
        <f t="shared" si="4"/>
        <v>38.739791999999994</v>
      </c>
      <c r="O130" s="52">
        <f t="shared" si="5"/>
        <v>39.032536020151127</v>
      </c>
      <c r="P130" s="45" t="s">
        <v>240</v>
      </c>
      <c r="Q130" s="12" t="s">
        <v>232</v>
      </c>
    </row>
    <row r="131" spans="1:17" s="53" customFormat="1" x14ac:dyDescent="0.2">
      <c r="A131" s="42" t="s">
        <v>34</v>
      </c>
      <c r="B131" s="43" t="s">
        <v>235</v>
      </c>
      <c r="C131" s="54">
        <v>3600</v>
      </c>
      <c r="D131" s="42">
        <f t="shared" si="2"/>
        <v>3600</v>
      </c>
      <c r="E131" s="45"/>
      <c r="F131" s="54" t="s">
        <v>255</v>
      </c>
      <c r="G131" s="44" t="s">
        <v>262</v>
      </c>
      <c r="H131" s="44" t="s">
        <v>238</v>
      </c>
      <c r="I131" s="55">
        <v>43.44</v>
      </c>
      <c r="J131" s="47" t="s">
        <v>239</v>
      </c>
      <c r="K131" s="48">
        <v>0</v>
      </c>
      <c r="L131" s="49">
        <f t="shared" si="3"/>
        <v>43.44</v>
      </c>
      <c r="M131" s="50">
        <v>0.1082</v>
      </c>
      <c r="N131" s="51">
        <f t="shared" si="4"/>
        <v>38.739791999999994</v>
      </c>
      <c r="O131" s="52">
        <f t="shared" si="5"/>
        <v>39.032536020151127</v>
      </c>
      <c r="P131" s="45" t="s">
        <v>240</v>
      </c>
      <c r="Q131" s="12" t="s">
        <v>232</v>
      </c>
    </row>
    <row r="132" spans="1:17" s="53" customFormat="1" x14ac:dyDescent="0.2">
      <c r="A132" s="42" t="s">
        <v>34</v>
      </c>
      <c r="B132" s="43" t="s">
        <v>235</v>
      </c>
      <c r="C132" s="54">
        <v>3640</v>
      </c>
      <c r="D132" s="42">
        <f t="shared" si="2"/>
        <v>3640</v>
      </c>
      <c r="E132" s="45"/>
      <c r="F132" s="54" t="s">
        <v>255</v>
      </c>
      <c r="G132" s="44" t="s">
        <v>263</v>
      </c>
      <c r="H132" s="44" t="s">
        <v>238</v>
      </c>
      <c r="I132" s="55">
        <v>43.44</v>
      </c>
      <c r="J132" s="47" t="s">
        <v>239</v>
      </c>
      <c r="K132" s="48">
        <v>0</v>
      </c>
      <c r="L132" s="49">
        <f t="shared" si="3"/>
        <v>43.44</v>
      </c>
      <c r="M132" s="50">
        <v>0.1082</v>
      </c>
      <c r="N132" s="51">
        <f t="shared" si="4"/>
        <v>38.739791999999994</v>
      </c>
      <c r="O132" s="52">
        <f t="shared" si="5"/>
        <v>39.032536020151127</v>
      </c>
      <c r="P132" s="45" t="s">
        <v>240</v>
      </c>
      <c r="Q132" s="12" t="s">
        <v>232</v>
      </c>
    </row>
    <row r="133" spans="1:17" s="53" customFormat="1" x14ac:dyDescent="0.2">
      <c r="A133" s="42" t="s">
        <v>34</v>
      </c>
      <c r="B133" s="43" t="s">
        <v>235</v>
      </c>
      <c r="C133" s="54">
        <v>3731</v>
      </c>
      <c r="D133" s="42">
        <f t="shared" si="2"/>
        <v>3731</v>
      </c>
      <c r="E133" s="45"/>
      <c r="F133" s="54" t="s">
        <v>255</v>
      </c>
      <c r="G133" s="44" t="s">
        <v>264</v>
      </c>
      <c r="H133" s="44" t="s">
        <v>238</v>
      </c>
      <c r="I133" s="55">
        <v>43.44</v>
      </c>
      <c r="J133" s="47" t="s">
        <v>239</v>
      </c>
      <c r="K133" s="48">
        <v>0</v>
      </c>
      <c r="L133" s="49">
        <f t="shared" si="3"/>
        <v>43.44</v>
      </c>
      <c r="M133" s="50">
        <v>0.1082</v>
      </c>
      <c r="N133" s="51">
        <f t="shared" si="4"/>
        <v>38.739791999999994</v>
      </c>
      <c r="O133" s="52">
        <f t="shared" si="5"/>
        <v>39.032536020151127</v>
      </c>
      <c r="P133" s="45" t="s">
        <v>240</v>
      </c>
      <c r="Q133" s="12" t="s">
        <v>232</v>
      </c>
    </row>
    <row r="134" spans="1:17" s="53" customFormat="1" x14ac:dyDescent="0.2">
      <c r="A134" s="42" t="s">
        <v>34</v>
      </c>
      <c r="B134" s="43" t="s">
        <v>235</v>
      </c>
      <c r="C134" s="54">
        <v>3823</v>
      </c>
      <c r="D134" s="42">
        <f t="shared" si="2"/>
        <v>3823</v>
      </c>
      <c r="E134" s="45"/>
      <c r="F134" s="54" t="s">
        <v>255</v>
      </c>
      <c r="G134" s="44" t="s">
        <v>265</v>
      </c>
      <c r="H134" s="44" t="s">
        <v>238</v>
      </c>
      <c r="I134" s="55">
        <v>43.44</v>
      </c>
      <c r="J134" s="47" t="s">
        <v>239</v>
      </c>
      <c r="K134" s="48">
        <v>0</v>
      </c>
      <c r="L134" s="49">
        <f t="shared" si="3"/>
        <v>43.44</v>
      </c>
      <c r="M134" s="50">
        <v>0.1082</v>
      </c>
      <c r="N134" s="51">
        <f t="shared" si="4"/>
        <v>38.739791999999994</v>
      </c>
      <c r="O134" s="52">
        <f t="shared" si="5"/>
        <v>39.032536020151127</v>
      </c>
      <c r="P134" s="45" t="s">
        <v>240</v>
      </c>
      <c r="Q134" s="12" t="s">
        <v>232</v>
      </c>
    </row>
    <row r="135" spans="1:17" s="53" customFormat="1" x14ac:dyDescent="0.2">
      <c r="A135" s="42" t="s">
        <v>34</v>
      </c>
      <c r="B135" s="43" t="s">
        <v>235</v>
      </c>
      <c r="C135" s="54">
        <v>3501</v>
      </c>
      <c r="D135" s="42">
        <f t="shared" si="2"/>
        <v>3501</v>
      </c>
      <c r="E135" s="45"/>
      <c r="F135" s="54" t="s">
        <v>266</v>
      </c>
      <c r="G135" s="44" t="s">
        <v>253</v>
      </c>
      <c r="H135" s="44" t="s">
        <v>238</v>
      </c>
      <c r="I135" s="46">
        <v>43.44</v>
      </c>
      <c r="J135" s="47" t="s">
        <v>239</v>
      </c>
      <c r="K135" s="48">
        <v>0</v>
      </c>
      <c r="L135" s="49">
        <f t="shared" si="3"/>
        <v>43.44</v>
      </c>
      <c r="M135" s="50">
        <v>0.1082</v>
      </c>
      <c r="N135" s="51">
        <f t="shared" si="4"/>
        <v>38.739791999999994</v>
      </c>
      <c r="O135" s="52">
        <f t="shared" si="5"/>
        <v>39.032536020151127</v>
      </c>
      <c r="P135" s="45" t="s">
        <v>240</v>
      </c>
      <c r="Q135" s="12" t="s">
        <v>232</v>
      </c>
    </row>
    <row r="136" spans="1:17" s="53" customFormat="1" x14ac:dyDescent="0.2">
      <c r="A136" s="42" t="s">
        <v>34</v>
      </c>
      <c r="B136" s="43" t="s">
        <v>235</v>
      </c>
      <c r="C136" s="54">
        <v>3502</v>
      </c>
      <c r="D136" s="42">
        <f t="shared" si="2"/>
        <v>3502</v>
      </c>
      <c r="E136" s="45"/>
      <c r="F136" s="54" t="s">
        <v>266</v>
      </c>
      <c r="G136" s="44" t="s">
        <v>267</v>
      </c>
      <c r="H136" s="44" t="s">
        <v>238</v>
      </c>
      <c r="I136" s="46">
        <v>43.44</v>
      </c>
      <c r="J136" s="47" t="s">
        <v>239</v>
      </c>
      <c r="K136" s="48">
        <v>0</v>
      </c>
      <c r="L136" s="49">
        <f t="shared" si="3"/>
        <v>43.44</v>
      </c>
      <c r="M136" s="50">
        <v>0.1082</v>
      </c>
      <c r="N136" s="51">
        <f t="shared" si="4"/>
        <v>38.739791999999994</v>
      </c>
      <c r="O136" s="52">
        <f t="shared" si="5"/>
        <v>39.032536020151127</v>
      </c>
      <c r="P136" s="45" t="s">
        <v>240</v>
      </c>
      <c r="Q136" s="12" t="s">
        <v>232</v>
      </c>
    </row>
    <row r="137" spans="1:17" s="53" customFormat="1" x14ac:dyDescent="0.2">
      <c r="A137" s="42" t="s">
        <v>34</v>
      </c>
      <c r="B137" s="43" t="s">
        <v>235</v>
      </c>
      <c r="C137" s="54">
        <v>3503</v>
      </c>
      <c r="D137" s="42">
        <f t="shared" si="2"/>
        <v>3503</v>
      </c>
      <c r="E137" s="45"/>
      <c r="F137" s="54" t="s">
        <v>266</v>
      </c>
      <c r="G137" s="44" t="s">
        <v>257</v>
      </c>
      <c r="H137" s="44" t="s">
        <v>238</v>
      </c>
      <c r="I137" s="46">
        <v>43.44</v>
      </c>
      <c r="J137" s="47" t="s">
        <v>239</v>
      </c>
      <c r="K137" s="48">
        <v>0</v>
      </c>
      <c r="L137" s="49">
        <f t="shared" si="3"/>
        <v>43.44</v>
      </c>
      <c r="M137" s="50">
        <v>0.1082</v>
      </c>
      <c r="N137" s="51">
        <f t="shared" si="4"/>
        <v>38.739791999999994</v>
      </c>
      <c r="O137" s="52">
        <f t="shared" si="5"/>
        <v>39.032536020151127</v>
      </c>
      <c r="P137" s="45" t="s">
        <v>240</v>
      </c>
      <c r="Q137" s="12" t="s">
        <v>232</v>
      </c>
    </row>
    <row r="138" spans="1:17" s="53" customFormat="1" x14ac:dyDescent="0.2">
      <c r="A138" s="42" t="s">
        <v>34</v>
      </c>
      <c r="B138" s="43" t="s">
        <v>235</v>
      </c>
      <c r="C138" s="54">
        <v>3504</v>
      </c>
      <c r="D138" s="42">
        <f t="shared" si="2"/>
        <v>3504</v>
      </c>
      <c r="E138" s="45"/>
      <c r="F138" s="54" t="s">
        <v>266</v>
      </c>
      <c r="G138" s="44" t="s">
        <v>248</v>
      </c>
      <c r="H138" s="44" t="s">
        <v>238</v>
      </c>
      <c r="I138" s="46">
        <v>43.44</v>
      </c>
      <c r="J138" s="47" t="s">
        <v>239</v>
      </c>
      <c r="K138" s="48">
        <v>0</v>
      </c>
      <c r="L138" s="49">
        <f t="shared" si="3"/>
        <v>43.44</v>
      </c>
      <c r="M138" s="50">
        <v>0.1082</v>
      </c>
      <c r="N138" s="51">
        <f t="shared" si="4"/>
        <v>38.739791999999994</v>
      </c>
      <c r="O138" s="52">
        <f t="shared" si="5"/>
        <v>39.032536020151127</v>
      </c>
      <c r="P138" s="45" t="s">
        <v>240</v>
      </c>
      <c r="Q138" s="12" t="s">
        <v>232</v>
      </c>
    </row>
    <row r="139" spans="1:17" s="53" customFormat="1" x14ac:dyDescent="0.2">
      <c r="A139" s="42" t="s">
        <v>34</v>
      </c>
      <c r="B139" s="43" t="s">
        <v>235</v>
      </c>
      <c r="C139" s="54">
        <v>3505</v>
      </c>
      <c r="D139" s="42">
        <f t="shared" si="2"/>
        <v>3505</v>
      </c>
      <c r="E139" s="45"/>
      <c r="F139" s="54" t="s">
        <v>266</v>
      </c>
      <c r="G139" s="44" t="s">
        <v>268</v>
      </c>
      <c r="H139" s="44" t="s">
        <v>238</v>
      </c>
      <c r="I139" s="46">
        <v>43.44</v>
      </c>
      <c r="J139" s="47" t="s">
        <v>239</v>
      </c>
      <c r="K139" s="48">
        <v>0</v>
      </c>
      <c r="L139" s="49">
        <f t="shared" si="3"/>
        <v>43.44</v>
      </c>
      <c r="M139" s="50">
        <v>0.1082</v>
      </c>
      <c r="N139" s="51">
        <f t="shared" si="4"/>
        <v>38.739791999999994</v>
      </c>
      <c r="O139" s="52">
        <f t="shared" si="5"/>
        <v>39.032536020151127</v>
      </c>
      <c r="P139" s="45" t="s">
        <v>240</v>
      </c>
      <c r="Q139" s="12" t="s">
        <v>232</v>
      </c>
    </row>
    <row r="140" spans="1:17" s="53" customFormat="1" x14ac:dyDescent="0.2">
      <c r="A140" s="42" t="s">
        <v>34</v>
      </c>
      <c r="B140" s="43" t="s">
        <v>235</v>
      </c>
      <c r="C140" s="54">
        <v>3506</v>
      </c>
      <c r="D140" s="42">
        <f t="shared" si="2"/>
        <v>3506</v>
      </c>
      <c r="E140" s="45"/>
      <c r="F140" s="54" t="s">
        <v>266</v>
      </c>
      <c r="G140" s="44" t="s">
        <v>249</v>
      </c>
      <c r="H140" s="44" t="s">
        <v>238</v>
      </c>
      <c r="I140" s="46">
        <v>43.44</v>
      </c>
      <c r="J140" s="47" t="s">
        <v>239</v>
      </c>
      <c r="K140" s="48">
        <v>0</v>
      </c>
      <c r="L140" s="49">
        <f t="shared" si="3"/>
        <v>43.44</v>
      </c>
      <c r="M140" s="50">
        <v>0.1082</v>
      </c>
      <c r="N140" s="51">
        <f t="shared" si="4"/>
        <v>38.739791999999994</v>
      </c>
      <c r="O140" s="52">
        <f t="shared" si="5"/>
        <v>39.032536020151127</v>
      </c>
      <c r="P140" s="45" t="s">
        <v>240</v>
      </c>
      <c r="Q140" s="12" t="s">
        <v>232</v>
      </c>
    </row>
    <row r="141" spans="1:17" s="53" customFormat="1" x14ac:dyDescent="0.2">
      <c r="A141" s="42" t="s">
        <v>34</v>
      </c>
      <c r="B141" s="43" t="s">
        <v>235</v>
      </c>
      <c r="C141" s="54">
        <v>8305</v>
      </c>
      <c r="D141" s="42">
        <f t="shared" si="2"/>
        <v>8305</v>
      </c>
      <c r="E141" s="45"/>
      <c r="F141" s="54" t="s">
        <v>269</v>
      </c>
      <c r="G141" s="44" t="s">
        <v>270</v>
      </c>
      <c r="H141" s="44" t="s">
        <v>238</v>
      </c>
      <c r="I141" s="46">
        <v>46.44</v>
      </c>
      <c r="J141" s="47" t="s">
        <v>239</v>
      </c>
      <c r="K141" s="48">
        <v>0</v>
      </c>
      <c r="L141" s="49">
        <f t="shared" si="3"/>
        <v>46.44</v>
      </c>
      <c r="M141" s="50">
        <v>0.1082</v>
      </c>
      <c r="N141" s="51">
        <f t="shared" si="4"/>
        <v>41.415191999999998</v>
      </c>
      <c r="O141" s="52">
        <f t="shared" si="5"/>
        <v>41.728153148614602</v>
      </c>
      <c r="P141" s="45" t="s">
        <v>240</v>
      </c>
      <c r="Q141" s="12" t="s">
        <v>232</v>
      </c>
    </row>
    <row r="142" spans="1:17" s="53" customFormat="1" x14ac:dyDescent="0.2">
      <c r="A142" s="42" t="s">
        <v>34</v>
      </c>
      <c r="B142" s="43" t="s">
        <v>235</v>
      </c>
      <c r="C142" s="54">
        <v>8306</v>
      </c>
      <c r="D142" s="42">
        <f t="shared" si="2"/>
        <v>8306</v>
      </c>
      <c r="E142" s="45"/>
      <c r="F142" s="54" t="s">
        <v>269</v>
      </c>
      <c r="G142" s="44" t="s">
        <v>271</v>
      </c>
      <c r="H142" s="44" t="s">
        <v>238</v>
      </c>
      <c r="I142" s="46">
        <v>46.44</v>
      </c>
      <c r="J142" s="47" t="s">
        <v>239</v>
      </c>
      <c r="K142" s="48">
        <v>0</v>
      </c>
      <c r="L142" s="49">
        <f t="shared" si="3"/>
        <v>46.44</v>
      </c>
      <c r="M142" s="50">
        <v>0.1082</v>
      </c>
      <c r="N142" s="51">
        <f t="shared" si="4"/>
        <v>41.415191999999998</v>
      </c>
      <c r="O142" s="52">
        <f t="shared" si="5"/>
        <v>41.728153148614602</v>
      </c>
      <c r="P142" s="45" t="s">
        <v>240</v>
      </c>
      <c r="Q142" s="12" t="s">
        <v>232</v>
      </c>
    </row>
    <row r="143" spans="1:17" s="53" customFormat="1" x14ac:dyDescent="0.2">
      <c r="A143" s="42" t="s">
        <v>34</v>
      </c>
      <c r="B143" s="43" t="s">
        <v>235</v>
      </c>
      <c r="C143" s="54">
        <v>8307</v>
      </c>
      <c r="D143" s="42">
        <f t="shared" si="2"/>
        <v>8307</v>
      </c>
      <c r="E143" s="45"/>
      <c r="F143" s="54" t="s">
        <v>269</v>
      </c>
      <c r="G143" s="44" t="s">
        <v>272</v>
      </c>
      <c r="H143" s="44" t="s">
        <v>238</v>
      </c>
      <c r="I143" s="46">
        <v>46.44</v>
      </c>
      <c r="J143" s="47" t="s">
        <v>239</v>
      </c>
      <c r="K143" s="48">
        <v>0</v>
      </c>
      <c r="L143" s="49">
        <f t="shared" si="3"/>
        <v>46.44</v>
      </c>
      <c r="M143" s="50">
        <v>0.1082</v>
      </c>
      <c r="N143" s="51">
        <f t="shared" si="4"/>
        <v>41.415191999999998</v>
      </c>
      <c r="O143" s="52">
        <f t="shared" si="5"/>
        <v>41.728153148614602</v>
      </c>
      <c r="P143" s="45" t="s">
        <v>240</v>
      </c>
      <c r="Q143" s="12" t="s">
        <v>232</v>
      </c>
    </row>
    <row r="144" spans="1:17" s="53" customFormat="1" x14ac:dyDescent="0.2">
      <c r="A144" s="42" t="s">
        <v>34</v>
      </c>
      <c r="B144" s="43" t="s">
        <v>235</v>
      </c>
      <c r="C144" s="54">
        <v>8308</v>
      </c>
      <c r="D144" s="42">
        <f t="shared" si="2"/>
        <v>8308</v>
      </c>
      <c r="E144" s="45"/>
      <c r="F144" s="54" t="s">
        <v>269</v>
      </c>
      <c r="G144" s="44" t="s">
        <v>273</v>
      </c>
      <c r="H144" s="44" t="s">
        <v>238</v>
      </c>
      <c r="I144" s="46">
        <v>46.44</v>
      </c>
      <c r="J144" s="47" t="s">
        <v>239</v>
      </c>
      <c r="K144" s="48">
        <v>0</v>
      </c>
      <c r="L144" s="49">
        <f t="shared" si="3"/>
        <v>46.44</v>
      </c>
      <c r="M144" s="50">
        <v>0.1082</v>
      </c>
      <c r="N144" s="51">
        <f t="shared" si="4"/>
        <v>41.415191999999998</v>
      </c>
      <c r="O144" s="52">
        <f t="shared" si="5"/>
        <v>41.728153148614602</v>
      </c>
      <c r="P144" s="45" t="s">
        <v>240</v>
      </c>
      <c r="Q144" s="12" t="s">
        <v>232</v>
      </c>
    </row>
    <row r="145" spans="1:17" s="53" customFormat="1" x14ac:dyDescent="0.2">
      <c r="A145" s="42" t="s">
        <v>34</v>
      </c>
      <c r="B145" s="43" t="s">
        <v>235</v>
      </c>
      <c r="C145" s="54">
        <v>8309</v>
      </c>
      <c r="D145" s="42">
        <f t="shared" si="2"/>
        <v>8309</v>
      </c>
      <c r="E145" s="45"/>
      <c r="F145" s="54" t="s">
        <v>269</v>
      </c>
      <c r="G145" s="44" t="s">
        <v>274</v>
      </c>
      <c r="H145" s="44" t="s">
        <v>238</v>
      </c>
      <c r="I145" s="46">
        <v>46.44</v>
      </c>
      <c r="J145" s="47" t="s">
        <v>239</v>
      </c>
      <c r="K145" s="48">
        <v>0</v>
      </c>
      <c r="L145" s="49">
        <f t="shared" si="3"/>
        <v>46.44</v>
      </c>
      <c r="M145" s="50">
        <v>0.1082</v>
      </c>
      <c r="N145" s="51">
        <f t="shared" si="4"/>
        <v>41.415191999999998</v>
      </c>
      <c r="O145" s="52">
        <f t="shared" si="5"/>
        <v>41.728153148614602</v>
      </c>
      <c r="P145" s="45" t="s">
        <v>240</v>
      </c>
      <c r="Q145" s="12" t="s">
        <v>232</v>
      </c>
    </row>
    <row r="146" spans="1:17" s="53" customFormat="1" x14ac:dyDescent="0.2">
      <c r="A146" s="42" t="s">
        <v>34</v>
      </c>
      <c r="B146" s="43" t="s">
        <v>235</v>
      </c>
      <c r="C146" s="54">
        <v>8314</v>
      </c>
      <c r="D146" s="42">
        <f t="shared" si="2"/>
        <v>8314</v>
      </c>
      <c r="E146" s="45"/>
      <c r="F146" s="54" t="s">
        <v>269</v>
      </c>
      <c r="G146" s="44" t="s">
        <v>275</v>
      </c>
      <c r="H146" s="44" t="s">
        <v>238</v>
      </c>
      <c r="I146" s="46">
        <v>46.44</v>
      </c>
      <c r="J146" s="47" t="s">
        <v>239</v>
      </c>
      <c r="K146" s="48">
        <v>0</v>
      </c>
      <c r="L146" s="49">
        <f t="shared" si="3"/>
        <v>46.44</v>
      </c>
      <c r="M146" s="50">
        <v>0.1082</v>
      </c>
      <c r="N146" s="51">
        <f t="shared" si="4"/>
        <v>41.415191999999998</v>
      </c>
      <c r="O146" s="52">
        <f t="shared" si="5"/>
        <v>41.728153148614602</v>
      </c>
      <c r="P146" s="45" t="s">
        <v>240</v>
      </c>
      <c r="Q146" s="12" t="s">
        <v>232</v>
      </c>
    </row>
    <row r="147" spans="1:17" s="53" customFormat="1" x14ac:dyDescent="0.2">
      <c r="A147" s="42" t="s">
        <v>34</v>
      </c>
      <c r="B147" s="43" t="s">
        <v>235</v>
      </c>
      <c r="C147" s="54">
        <v>8316</v>
      </c>
      <c r="D147" s="42">
        <f t="shared" si="2"/>
        <v>8316</v>
      </c>
      <c r="E147" s="45"/>
      <c r="F147" s="54" t="s">
        <v>269</v>
      </c>
      <c r="G147" s="44" t="s">
        <v>276</v>
      </c>
      <c r="H147" s="44" t="s">
        <v>238</v>
      </c>
      <c r="I147" s="46">
        <v>46.44</v>
      </c>
      <c r="J147" s="47" t="s">
        <v>239</v>
      </c>
      <c r="K147" s="48">
        <v>0</v>
      </c>
      <c r="L147" s="49">
        <f t="shared" si="3"/>
        <v>46.44</v>
      </c>
      <c r="M147" s="50">
        <v>0.1082</v>
      </c>
      <c r="N147" s="51">
        <f t="shared" si="4"/>
        <v>41.415191999999998</v>
      </c>
      <c r="O147" s="52">
        <f t="shared" si="5"/>
        <v>41.728153148614602</v>
      </c>
      <c r="P147" s="45" t="s">
        <v>240</v>
      </c>
      <c r="Q147" s="12" t="s">
        <v>232</v>
      </c>
    </row>
    <row r="148" spans="1:17" s="53" customFormat="1" x14ac:dyDescent="0.2">
      <c r="A148" s="42" t="s">
        <v>34</v>
      </c>
      <c r="B148" s="43" t="s">
        <v>235</v>
      </c>
      <c r="C148" s="54">
        <v>8317</v>
      </c>
      <c r="D148" s="42">
        <f t="shared" si="2"/>
        <v>8317</v>
      </c>
      <c r="E148" s="45"/>
      <c r="F148" s="54" t="s">
        <v>269</v>
      </c>
      <c r="G148" s="44" t="s">
        <v>277</v>
      </c>
      <c r="H148" s="44" t="s">
        <v>238</v>
      </c>
      <c r="I148" s="46">
        <v>46.44</v>
      </c>
      <c r="J148" s="47" t="s">
        <v>239</v>
      </c>
      <c r="K148" s="48">
        <v>0</v>
      </c>
      <c r="L148" s="49">
        <f t="shared" si="3"/>
        <v>46.44</v>
      </c>
      <c r="M148" s="50">
        <v>0.1082</v>
      </c>
      <c r="N148" s="51">
        <f t="shared" si="4"/>
        <v>41.415191999999998</v>
      </c>
      <c r="O148" s="52">
        <f t="shared" si="5"/>
        <v>41.728153148614602</v>
      </c>
      <c r="P148" s="45" t="s">
        <v>240</v>
      </c>
      <c r="Q148" s="12" t="s">
        <v>232</v>
      </c>
    </row>
    <row r="149" spans="1:17" s="53" customFormat="1" ht="25.5" x14ac:dyDescent="0.2">
      <c r="A149" s="42" t="s">
        <v>34</v>
      </c>
      <c r="B149" s="43" t="s">
        <v>235</v>
      </c>
      <c r="C149" s="54">
        <v>8300</v>
      </c>
      <c r="D149" s="42">
        <f t="shared" si="2"/>
        <v>8300</v>
      </c>
      <c r="E149" s="45"/>
      <c r="F149" s="54" t="s">
        <v>278</v>
      </c>
      <c r="G149" s="44" t="s">
        <v>279</v>
      </c>
      <c r="H149" s="44" t="s">
        <v>238</v>
      </c>
      <c r="I149" s="46">
        <v>53.04</v>
      </c>
      <c r="J149" s="47" t="s">
        <v>239</v>
      </c>
      <c r="K149" s="48">
        <v>0</v>
      </c>
      <c r="L149" s="49">
        <f t="shared" si="3"/>
        <v>53.04</v>
      </c>
      <c r="M149" s="50">
        <v>0.1082</v>
      </c>
      <c r="N149" s="51">
        <f t="shared" si="4"/>
        <v>47.301071999999998</v>
      </c>
      <c r="O149" s="52">
        <f t="shared" si="5"/>
        <v>47.658510831234253</v>
      </c>
      <c r="P149" s="45" t="s">
        <v>240</v>
      </c>
      <c r="Q149" s="12" t="s">
        <v>232</v>
      </c>
    </row>
    <row r="150" spans="1:17" s="53" customFormat="1" ht="25.5" x14ac:dyDescent="0.2">
      <c r="A150" s="42" t="s">
        <v>34</v>
      </c>
      <c r="B150" s="43" t="s">
        <v>235</v>
      </c>
      <c r="C150" s="54">
        <v>8301</v>
      </c>
      <c r="D150" s="42">
        <f t="shared" si="2"/>
        <v>8301</v>
      </c>
      <c r="E150" s="45"/>
      <c r="F150" s="54" t="s">
        <v>278</v>
      </c>
      <c r="G150" s="44" t="s">
        <v>280</v>
      </c>
      <c r="H150" s="44" t="s">
        <v>238</v>
      </c>
      <c r="I150" s="46">
        <v>53.04</v>
      </c>
      <c r="J150" s="47" t="s">
        <v>239</v>
      </c>
      <c r="K150" s="48">
        <v>0</v>
      </c>
      <c r="L150" s="49">
        <f t="shared" si="3"/>
        <v>53.04</v>
      </c>
      <c r="M150" s="50">
        <v>0.1082</v>
      </c>
      <c r="N150" s="51">
        <f t="shared" si="4"/>
        <v>47.301071999999998</v>
      </c>
      <c r="O150" s="52">
        <f t="shared" si="5"/>
        <v>47.658510831234253</v>
      </c>
      <c r="P150" s="45" t="s">
        <v>240</v>
      </c>
      <c r="Q150" s="12" t="s">
        <v>232</v>
      </c>
    </row>
    <row r="151" spans="1:17" s="53" customFormat="1" ht="25.5" x14ac:dyDescent="0.2">
      <c r="A151" s="42" t="s">
        <v>34</v>
      </c>
      <c r="B151" s="43" t="s">
        <v>235</v>
      </c>
      <c r="C151" s="54">
        <v>8302</v>
      </c>
      <c r="D151" s="42">
        <f t="shared" si="2"/>
        <v>8302</v>
      </c>
      <c r="E151" s="45"/>
      <c r="F151" s="54" t="s">
        <v>278</v>
      </c>
      <c r="G151" s="44" t="s">
        <v>281</v>
      </c>
      <c r="H151" s="44" t="s">
        <v>238</v>
      </c>
      <c r="I151" s="46">
        <v>53.04</v>
      </c>
      <c r="J151" s="47" t="s">
        <v>239</v>
      </c>
      <c r="K151" s="48">
        <v>0</v>
      </c>
      <c r="L151" s="49">
        <f t="shared" si="3"/>
        <v>53.04</v>
      </c>
      <c r="M151" s="50">
        <v>0.1082</v>
      </c>
      <c r="N151" s="51">
        <f t="shared" si="4"/>
        <v>47.301071999999998</v>
      </c>
      <c r="O151" s="52">
        <f t="shared" si="5"/>
        <v>47.658510831234253</v>
      </c>
      <c r="P151" s="45" t="s">
        <v>240</v>
      </c>
      <c r="Q151" s="12" t="s">
        <v>232</v>
      </c>
    </row>
    <row r="152" spans="1:17" s="53" customFormat="1" ht="25.5" x14ac:dyDescent="0.2">
      <c r="A152" s="42" t="s">
        <v>34</v>
      </c>
      <c r="B152" s="43" t="s">
        <v>235</v>
      </c>
      <c r="C152" s="54">
        <v>8303</v>
      </c>
      <c r="D152" s="42">
        <f t="shared" si="2"/>
        <v>8303</v>
      </c>
      <c r="E152" s="45"/>
      <c r="F152" s="54" t="s">
        <v>278</v>
      </c>
      <c r="G152" s="44" t="s">
        <v>282</v>
      </c>
      <c r="H152" s="44" t="s">
        <v>238</v>
      </c>
      <c r="I152" s="46">
        <v>53.04</v>
      </c>
      <c r="J152" s="47" t="s">
        <v>239</v>
      </c>
      <c r="K152" s="48">
        <v>0</v>
      </c>
      <c r="L152" s="49">
        <f t="shared" si="3"/>
        <v>53.04</v>
      </c>
      <c r="M152" s="50">
        <v>0.1082</v>
      </c>
      <c r="N152" s="51">
        <f t="shared" si="4"/>
        <v>47.301071999999998</v>
      </c>
      <c r="O152" s="52">
        <f t="shared" si="5"/>
        <v>47.658510831234253</v>
      </c>
      <c r="P152" s="45" t="s">
        <v>240</v>
      </c>
      <c r="Q152" s="12" t="s">
        <v>232</v>
      </c>
    </row>
    <row r="153" spans="1:17" s="53" customFormat="1" ht="25.5" x14ac:dyDescent="0.2">
      <c r="A153" s="42" t="s">
        <v>34</v>
      </c>
      <c r="B153" s="43" t="s">
        <v>235</v>
      </c>
      <c r="C153" s="54">
        <v>8304</v>
      </c>
      <c r="D153" s="42">
        <f t="shared" si="2"/>
        <v>8304</v>
      </c>
      <c r="E153" s="45"/>
      <c r="F153" s="54" t="s">
        <v>278</v>
      </c>
      <c r="G153" s="44" t="s">
        <v>283</v>
      </c>
      <c r="H153" s="44" t="s">
        <v>238</v>
      </c>
      <c r="I153" s="46">
        <v>53.04</v>
      </c>
      <c r="J153" s="47" t="s">
        <v>239</v>
      </c>
      <c r="K153" s="48">
        <v>0</v>
      </c>
      <c r="L153" s="49">
        <f t="shared" si="3"/>
        <v>53.04</v>
      </c>
      <c r="M153" s="50">
        <v>0.1082</v>
      </c>
      <c r="N153" s="51">
        <f t="shared" si="4"/>
        <v>47.301071999999998</v>
      </c>
      <c r="O153" s="52">
        <f t="shared" si="5"/>
        <v>47.658510831234253</v>
      </c>
      <c r="P153" s="45" t="s">
        <v>240</v>
      </c>
      <c r="Q153" s="12" t="s">
        <v>232</v>
      </c>
    </row>
    <row r="154" spans="1:17" s="53" customFormat="1" x14ac:dyDescent="0.2">
      <c r="A154" s="42" t="s">
        <v>34</v>
      </c>
      <c r="B154" s="43" t="s">
        <v>235</v>
      </c>
      <c r="C154" s="54">
        <v>839</v>
      </c>
      <c r="D154" s="42">
        <f t="shared" si="2"/>
        <v>839</v>
      </c>
      <c r="E154" s="45"/>
      <c r="F154" s="54" t="s">
        <v>284</v>
      </c>
      <c r="G154" s="44" t="s">
        <v>285</v>
      </c>
      <c r="H154" s="44" t="s">
        <v>286</v>
      </c>
      <c r="I154" s="46">
        <v>35.22</v>
      </c>
      <c r="J154" s="47" t="s">
        <v>239</v>
      </c>
      <c r="K154" s="48">
        <v>0</v>
      </c>
      <c r="L154" s="49">
        <f t="shared" si="3"/>
        <v>35.22</v>
      </c>
      <c r="M154" s="50">
        <v>0.1082</v>
      </c>
      <c r="N154" s="51">
        <f t="shared" si="4"/>
        <v>31.409195999999998</v>
      </c>
      <c r="O154" s="52">
        <f t="shared" si="5"/>
        <v>31.646545088161204</v>
      </c>
      <c r="P154" s="45" t="s">
        <v>240</v>
      </c>
      <c r="Q154" s="12" t="s">
        <v>232</v>
      </c>
    </row>
    <row r="155" spans="1:17" s="53" customFormat="1" x14ac:dyDescent="0.2">
      <c r="A155" s="42" t="s">
        <v>34</v>
      </c>
      <c r="B155" s="43" t="s">
        <v>235</v>
      </c>
      <c r="C155" s="54">
        <v>879</v>
      </c>
      <c r="D155" s="42">
        <f t="shared" si="2"/>
        <v>879</v>
      </c>
      <c r="E155" s="45"/>
      <c r="F155" s="54" t="s">
        <v>284</v>
      </c>
      <c r="G155" s="44" t="s">
        <v>287</v>
      </c>
      <c r="H155" s="44" t="s">
        <v>286</v>
      </c>
      <c r="I155" s="46">
        <v>35.22</v>
      </c>
      <c r="J155" s="47" t="s">
        <v>239</v>
      </c>
      <c r="K155" s="48">
        <v>0</v>
      </c>
      <c r="L155" s="49">
        <f t="shared" si="3"/>
        <v>35.22</v>
      </c>
      <c r="M155" s="50">
        <v>0.1082</v>
      </c>
      <c r="N155" s="51">
        <f t="shared" si="4"/>
        <v>31.409195999999998</v>
      </c>
      <c r="O155" s="52">
        <f t="shared" si="5"/>
        <v>31.646545088161204</v>
      </c>
      <c r="P155" s="45" t="s">
        <v>240</v>
      </c>
      <c r="Q155" s="12" t="s">
        <v>232</v>
      </c>
    </row>
    <row r="156" spans="1:17" s="53" customFormat="1" x14ac:dyDescent="0.2">
      <c r="A156" s="42" t="s">
        <v>34</v>
      </c>
      <c r="B156" s="43" t="s">
        <v>235</v>
      </c>
      <c r="C156" s="54">
        <v>639</v>
      </c>
      <c r="D156" s="42">
        <f t="shared" si="2"/>
        <v>639</v>
      </c>
      <c r="E156" s="45"/>
      <c r="F156" s="54" t="s">
        <v>284</v>
      </c>
      <c r="G156" s="44" t="s">
        <v>288</v>
      </c>
      <c r="H156" s="44" t="s">
        <v>286</v>
      </c>
      <c r="I156" s="46">
        <v>35.22</v>
      </c>
      <c r="J156" s="47" t="s">
        <v>239</v>
      </c>
      <c r="K156" s="48">
        <v>0</v>
      </c>
      <c r="L156" s="49">
        <f t="shared" si="3"/>
        <v>35.22</v>
      </c>
      <c r="M156" s="50">
        <v>0.1082</v>
      </c>
      <c r="N156" s="51">
        <f t="shared" si="4"/>
        <v>31.409195999999998</v>
      </c>
      <c r="O156" s="52">
        <f t="shared" si="5"/>
        <v>31.646545088161204</v>
      </c>
      <c r="P156" s="45" t="s">
        <v>240</v>
      </c>
      <c r="Q156" s="12" t="s">
        <v>232</v>
      </c>
    </row>
    <row r="157" spans="1:17" s="53" customFormat="1" x14ac:dyDescent="0.2">
      <c r="A157" s="42" t="s">
        <v>34</v>
      </c>
      <c r="B157" s="43" t="s">
        <v>235</v>
      </c>
      <c r="C157" s="54">
        <v>159</v>
      </c>
      <c r="D157" s="42">
        <f t="shared" si="2"/>
        <v>159</v>
      </c>
      <c r="E157" s="45"/>
      <c r="F157" s="54" t="s">
        <v>284</v>
      </c>
      <c r="G157" s="44" t="s">
        <v>289</v>
      </c>
      <c r="H157" s="44" t="s">
        <v>286</v>
      </c>
      <c r="I157" s="46">
        <v>35.22</v>
      </c>
      <c r="J157" s="47" t="s">
        <v>239</v>
      </c>
      <c r="K157" s="48">
        <v>0</v>
      </c>
      <c r="L157" s="49">
        <f t="shared" si="3"/>
        <v>35.22</v>
      </c>
      <c r="M157" s="50">
        <v>0.1082</v>
      </c>
      <c r="N157" s="51">
        <f t="shared" si="4"/>
        <v>31.409195999999998</v>
      </c>
      <c r="O157" s="52">
        <f t="shared" si="5"/>
        <v>31.646545088161204</v>
      </c>
      <c r="P157" s="45" t="s">
        <v>240</v>
      </c>
      <c r="Q157" s="12" t="s">
        <v>232</v>
      </c>
    </row>
    <row r="158" spans="1:17" s="53" customFormat="1" x14ac:dyDescent="0.2">
      <c r="A158" s="42" t="s">
        <v>34</v>
      </c>
      <c r="B158" s="43" t="s">
        <v>235</v>
      </c>
      <c r="C158" s="54">
        <v>249</v>
      </c>
      <c r="D158" s="42">
        <f t="shared" si="2"/>
        <v>249</v>
      </c>
      <c r="E158" s="45"/>
      <c r="F158" s="54" t="s">
        <v>284</v>
      </c>
      <c r="G158" s="44" t="s">
        <v>290</v>
      </c>
      <c r="H158" s="44" t="s">
        <v>286</v>
      </c>
      <c r="I158" s="46">
        <v>35.22</v>
      </c>
      <c r="J158" s="47" t="s">
        <v>239</v>
      </c>
      <c r="K158" s="48">
        <v>0</v>
      </c>
      <c r="L158" s="49">
        <f t="shared" si="3"/>
        <v>35.22</v>
      </c>
      <c r="M158" s="50">
        <v>0.1082</v>
      </c>
      <c r="N158" s="51">
        <f t="shared" si="4"/>
        <v>31.409195999999998</v>
      </c>
      <c r="O158" s="52">
        <f t="shared" si="5"/>
        <v>31.646545088161204</v>
      </c>
      <c r="P158" s="45" t="s">
        <v>240</v>
      </c>
      <c r="Q158" s="12" t="s">
        <v>232</v>
      </c>
    </row>
    <row r="159" spans="1:17" s="53" customFormat="1" x14ac:dyDescent="0.2">
      <c r="A159" s="42" t="s">
        <v>34</v>
      </c>
      <c r="B159" s="43" t="s">
        <v>235</v>
      </c>
      <c r="C159" s="54">
        <v>339</v>
      </c>
      <c r="D159" s="42">
        <f t="shared" si="2"/>
        <v>339</v>
      </c>
      <c r="E159" s="45"/>
      <c r="F159" s="54" t="s">
        <v>284</v>
      </c>
      <c r="G159" s="44" t="s">
        <v>291</v>
      </c>
      <c r="H159" s="44" t="s">
        <v>286</v>
      </c>
      <c r="I159" s="46">
        <v>35.22</v>
      </c>
      <c r="J159" s="47" t="s">
        <v>239</v>
      </c>
      <c r="K159" s="48">
        <v>0</v>
      </c>
      <c r="L159" s="49">
        <f t="shared" si="3"/>
        <v>35.22</v>
      </c>
      <c r="M159" s="50">
        <v>0.1082</v>
      </c>
      <c r="N159" s="51">
        <f t="shared" si="4"/>
        <v>31.409195999999998</v>
      </c>
      <c r="O159" s="52">
        <f t="shared" si="5"/>
        <v>31.646545088161204</v>
      </c>
      <c r="P159" s="45" t="s">
        <v>240</v>
      </c>
      <c r="Q159" s="12" t="s">
        <v>232</v>
      </c>
    </row>
    <row r="160" spans="1:17" s="53" customFormat="1" x14ac:dyDescent="0.2">
      <c r="A160" s="42" t="s">
        <v>34</v>
      </c>
      <c r="B160" s="43" t="s">
        <v>235</v>
      </c>
      <c r="C160" s="54">
        <v>439</v>
      </c>
      <c r="D160" s="42">
        <f t="shared" si="2"/>
        <v>439</v>
      </c>
      <c r="E160" s="45"/>
      <c r="F160" s="54" t="s">
        <v>284</v>
      </c>
      <c r="G160" s="44" t="s">
        <v>292</v>
      </c>
      <c r="H160" s="44" t="s">
        <v>286</v>
      </c>
      <c r="I160" s="46">
        <v>35.22</v>
      </c>
      <c r="J160" s="47" t="s">
        <v>239</v>
      </c>
      <c r="K160" s="48">
        <v>0</v>
      </c>
      <c r="L160" s="49">
        <f t="shared" si="3"/>
        <v>35.22</v>
      </c>
      <c r="M160" s="50">
        <v>0.1082</v>
      </c>
      <c r="N160" s="51">
        <f t="shared" si="4"/>
        <v>31.409195999999998</v>
      </c>
      <c r="O160" s="52">
        <f t="shared" si="5"/>
        <v>31.646545088161204</v>
      </c>
      <c r="P160" s="45" t="s">
        <v>240</v>
      </c>
      <c r="Q160" s="12" t="s">
        <v>232</v>
      </c>
    </row>
    <row r="161" spans="1:17" s="53" customFormat="1" x14ac:dyDescent="0.2">
      <c r="A161" s="42" t="s">
        <v>34</v>
      </c>
      <c r="B161" s="43" t="s">
        <v>235</v>
      </c>
      <c r="C161" s="54">
        <v>649</v>
      </c>
      <c r="D161" s="42">
        <f t="shared" si="2"/>
        <v>649</v>
      </c>
      <c r="E161" s="45"/>
      <c r="F161" s="54" t="s">
        <v>284</v>
      </c>
      <c r="G161" s="44" t="s">
        <v>293</v>
      </c>
      <c r="H161" s="44" t="s">
        <v>286</v>
      </c>
      <c r="I161" s="46">
        <v>35.22</v>
      </c>
      <c r="J161" s="47" t="s">
        <v>239</v>
      </c>
      <c r="K161" s="48">
        <v>0</v>
      </c>
      <c r="L161" s="49">
        <f t="shared" si="3"/>
        <v>35.22</v>
      </c>
      <c r="M161" s="50">
        <v>0.1082</v>
      </c>
      <c r="N161" s="51">
        <f t="shared" si="4"/>
        <v>31.409195999999998</v>
      </c>
      <c r="O161" s="52">
        <f t="shared" si="5"/>
        <v>31.646545088161204</v>
      </c>
      <c r="P161" s="45" t="s">
        <v>240</v>
      </c>
      <c r="Q161" s="12" t="s">
        <v>232</v>
      </c>
    </row>
    <row r="162" spans="1:17" s="53" customFormat="1" x14ac:dyDescent="0.2">
      <c r="A162" s="42" t="s">
        <v>34</v>
      </c>
      <c r="B162" s="43" t="s">
        <v>235</v>
      </c>
      <c r="C162" s="54">
        <v>789</v>
      </c>
      <c r="D162" s="42">
        <f t="shared" si="2"/>
        <v>789</v>
      </c>
      <c r="E162" s="45"/>
      <c r="F162" s="54" t="s">
        <v>284</v>
      </c>
      <c r="G162" s="44" t="s">
        <v>294</v>
      </c>
      <c r="H162" s="44" t="s">
        <v>286</v>
      </c>
      <c r="I162" s="46">
        <v>35.22</v>
      </c>
      <c r="J162" s="47" t="s">
        <v>239</v>
      </c>
      <c r="K162" s="48">
        <v>0</v>
      </c>
      <c r="L162" s="49">
        <f t="shared" si="3"/>
        <v>35.22</v>
      </c>
      <c r="M162" s="50">
        <v>0.1082</v>
      </c>
      <c r="N162" s="51">
        <f t="shared" si="4"/>
        <v>31.409195999999998</v>
      </c>
      <c r="O162" s="52">
        <f t="shared" si="5"/>
        <v>31.646545088161204</v>
      </c>
      <c r="P162" s="45" t="s">
        <v>240</v>
      </c>
      <c r="Q162" s="12" t="s">
        <v>232</v>
      </c>
    </row>
    <row r="163" spans="1:17" s="53" customFormat="1" x14ac:dyDescent="0.2">
      <c r="A163" s="42" t="s">
        <v>34</v>
      </c>
      <c r="B163" s="43" t="s">
        <v>235</v>
      </c>
      <c r="C163" s="54">
        <v>799</v>
      </c>
      <c r="D163" s="42">
        <f t="shared" si="2"/>
        <v>799</v>
      </c>
      <c r="E163" s="45"/>
      <c r="F163" s="54" t="s">
        <v>284</v>
      </c>
      <c r="G163" s="44" t="s">
        <v>295</v>
      </c>
      <c r="H163" s="44" t="s">
        <v>286</v>
      </c>
      <c r="I163" s="46">
        <v>35.22</v>
      </c>
      <c r="J163" s="47" t="s">
        <v>239</v>
      </c>
      <c r="K163" s="48">
        <v>0</v>
      </c>
      <c r="L163" s="49">
        <f t="shared" si="3"/>
        <v>35.22</v>
      </c>
      <c r="M163" s="50">
        <v>0.1082</v>
      </c>
      <c r="N163" s="51">
        <f t="shared" si="4"/>
        <v>31.409195999999998</v>
      </c>
      <c r="O163" s="52">
        <f t="shared" si="5"/>
        <v>31.646545088161204</v>
      </c>
      <c r="P163" s="45" t="s">
        <v>240</v>
      </c>
      <c r="Q163" s="12" t="s">
        <v>232</v>
      </c>
    </row>
    <row r="164" spans="1:17" s="53" customFormat="1" x14ac:dyDescent="0.2">
      <c r="A164" s="42" t="s">
        <v>34</v>
      </c>
      <c r="B164" s="43" t="s">
        <v>235</v>
      </c>
      <c r="C164" s="54">
        <v>929</v>
      </c>
      <c r="D164" s="42">
        <f t="shared" si="2"/>
        <v>929</v>
      </c>
      <c r="E164" s="45"/>
      <c r="F164" s="54" t="s">
        <v>284</v>
      </c>
      <c r="G164" s="44" t="s">
        <v>296</v>
      </c>
      <c r="H164" s="44" t="s">
        <v>286</v>
      </c>
      <c r="I164" s="46">
        <v>35.22</v>
      </c>
      <c r="J164" s="47" t="s">
        <v>239</v>
      </c>
      <c r="K164" s="48">
        <v>0</v>
      </c>
      <c r="L164" s="49">
        <f t="shared" si="3"/>
        <v>35.22</v>
      </c>
      <c r="M164" s="50">
        <v>0.1082</v>
      </c>
      <c r="N164" s="51">
        <f t="shared" si="4"/>
        <v>31.409195999999998</v>
      </c>
      <c r="O164" s="52">
        <f t="shared" si="5"/>
        <v>31.646545088161204</v>
      </c>
      <c r="P164" s="45" t="s">
        <v>240</v>
      </c>
      <c r="Q164" s="12" t="s">
        <v>232</v>
      </c>
    </row>
    <row r="165" spans="1:17" s="53" customFormat="1" x14ac:dyDescent="0.2">
      <c r="A165" s="42" t="s">
        <v>34</v>
      </c>
      <c r="B165" s="43" t="s">
        <v>235</v>
      </c>
      <c r="C165" s="54">
        <v>829</v>
      </c>
      <c r="D165" s="42">
        <f t="shared" si="2"/>
        <v>829</v>
      </c>
      <c r="E165" s="45"/>
      <c r="F165" s="54" t="s">
        <v>284</v>
      </c>
      <c r="G165" s="44" t="s">
        <v>297</v>
      </c>
      <c r="H165" s="44" t="s">
        <v>286</v>
      </c>
      <c r="I165" s="46">
        <v>35.22</v>
      </c>
      <c r="J165" s="47" t="s">
        <v>239</v>
      </c>
      <c r="K165" s="48">
        <v>0</v>
      </c>
      <c r="L165" s="49">
        <f t="shared" si="3"/>
        <v>35.22</v>
      </c>
      <c r="M165" s="50">
        <v>0.1082</v>
      </c>
      <c r="N165" s="51">
        <f t="shared" si="4"/>
        <v>31.409195999999998</v>
      </c>
      <c r="O165" s="52">
        <f t="shared" si="5"/>
        <v>31.646545088161204</v>
      </c>
      <c r="P165" s="45" t="s">
        <v>240</v>
      </c>
      <c r="Q165" s="12" t="s">
        <v>232</v>
      </c>
    </row>
    <row r="166" spans="1:17" s="53" customFormat="1" x14ac:dyDescent="0.2">
      <c r="A166" s="42" t="s">
        <v>34</v>
      </c>
      <c r="B166" s="43" t="s">
        <v>235</v>
      </c>
      <c r="C166" s="44" t="s">
        <v>298</v>
      </c>
      <c r="D166" s="42" t="str">
        <f t="shared" si="2"/>
        <v>LW40</v>
      </c>
      <c r="E166" s="45"/>
      <c r="F166" s="54" t="s">
        <v>299</v>
      </c>
      <c r="G166" s="54" t="s">
        <v>299</v>
      </c>
      <c r="H166" s="44" t="s">
        <v>228</v>
      </c>
      <c r="I166" s="46">
        <v>19.7</v>
      </c>
      <c r="J166" s="47" t="s">
        <v>239</v>
      </c>
      <c r="K166" s="48">
        <v>0</v>
      </c>
      <c r="L166" s="49">
        <f t="shared" si="3"/>
        <v>19.7</v>
      </c>
      <c r="M166" s="50">
        <v>0.1082</v>
      </c>
      <c r="N166" s="51">
        <f t="shared" si="4"/>
        <v>17.568459999999998</v>
      </c>
      <c r="O166" s="52">
        <f t="shared" si="5"/>
        <v>17.701219143576825</v>
      </c>
      <c r="P166" s="45" t="s">
        <v>240</v>
      </c>
      <c r="Q166" s="12" t="s">
        <v>232</v>
      </c>
    </row>
    <row r="167" spans="1:17" s="53" customFormat="1" x14ac:dyDescent="0.2">
      <c r="A167" s="42" t="s">
        <v>34</v>
      </c>
      <c r="B167" s="43" t="s">
        <v>235</v>
      </c>
      <c r="C167" s="44" t="s">
        <v>300</v>
      </c>
      <c r="D167" s="42" t="str">
        <f t="shared" si="2"/>
        <v>LW40-F</v>
      </c>
      <c r="E167" s="45"/>
      <c r="F167" s="54" t="s">
        <v>301</v>
      </c>
      <c r="G167" s="54" t="s">
        <v>301</v>
      </c>
      <c r="H167" s="44" t="s">
        <v>228</v>
      </c>
      <c r="I167" s="46">
        <v>21.6</v>
      </c>
      <c r="J167" s="47" t="s">
        <v>239</v>
      </c>
      <c r="K167" s="48">
        <v>0</v>
      </c>
      <c r="L167" s="49">
        <f t="shared" si="3"/>
        <v>21.6</v>
      </c>
      <c r="M167" s="50">
        <v>0.1082</v>
      </c>
      <c r="N167" s="51">
        <f t="shared" si="4"/>
        <v>19.262880000000003</v>
      </c>
      <c r="O167" s="52">
        <f t="shared" si="5"/>
        <v>19.408443324937029</v>
      </c>
      <c r="P167" s="45" t="s">
        <v>240</v>
      </c>
      <c r="Q167" s="12" t="s">
        <v>232</v>
      </c>
    </row>
    <row r="168" spans="1:17" s="53" customFormat="1" x14ac:dyDescent="0.2">
      <c r="A168" s="42" t="s">
        <v>34</v>
      </c>
      <c r="B168" s="43" t="s">
        <v>235</v>
      </c>
      <c r="C168" s="44" t="s">
        <v>302</v>
      </c>
      <c r="D168" s="42" t="str">
        <f t="shared" ref="D168:D198" si="6">C168</f>
        <v>SW41</v>
      </c>
      <c r="E168" s="45"/>
      <c r="F168" s="54" t="s">
        <v>303</v>
      </c>
      <c r="G168" s="54" t="s">
        <v>303</v>
      </c>
      <c r="H168" s="44" t="s">
        <v>228</v>
      </c>
      <c r="I168" s="46">
        <v>18.2</v>
      </c>
      <c r="J168" s="47" t="s">
        <v>239</v>
      </c>
      <c r="K168" s="48">
        <v>0</v>
      </c>
      <c r="L168" s="49">
        <f t="shared" ref="L168:L216" si="7">I168</f>
        <v>18.2</v>
      </c>
      <c r="M168" s="50">
        <v>0.1082</v>
      </c>
      <c r="N168" s="51">
        <f t="shared" ref="N168:N216" si="8">I168-(I168*M168)</f>
        <v>16.23076</v>
      </c>
      <c r="O168" s="52">
        <f t="shared" ref="O168:O216" si="9">N168/0.9925</f>
        <v>16.353410579345088</v>
      </c>
      <c r="P168" s="45" t="s">
        <v>240</v>
      </c>
      <c r="Q168" s="12" t="s">
        <v>232</v>
      </c>
    </row>
    <row r="169" spans="1:17" s="53" customFormat="1" x14ac:dyDescent="0.2">
      <c r="A169" s="42" t="s">
        <v>34</v>
      </c>
      <c r="B169" s="43" t="s">
        <v>235</v>
      </c>
      <c r="C169" s="44">
        <v>8360</v>
      </c>
      <c r="D169" s="42">
        <f t="shared" si="6"/>
        <v>8360</v>
      </c>
      <c r="E169" s="45"/>
      <c r="F169" s="54" t="s">
        <v>304</v>
      </c>
      <c r="G169" s="54" t="s">
        <v>304</v>
      </c>
      <c r="H169" s="44" t="s">
        <v>228</v>
      </c>
      <c r="I169" s="46">
        <v>25.1</v>
      </c>
      <c r="J169" s="47" t="s">
        <v>239</v>
      </c>
      <c r="K169" s="48">
        <v>0</v>
      </c>
      <c r="L169" s="49">
        <f t="shared" si="7"/>
        <v>25.1</v>
      </c>
      <c r="M169" s="50">
        <v>0.1082</v>
      </c>
      <c r="N169" s="51">
        <f t="shared" si="8"/>
        <v>22.384180000000001</v>
      </c>
      <c r="O169" s="52">
        <f t="shared" si="9"/>
        <v>22.553329974811081</v>
      </c>
      <c r="P169" s="45" t="s">
        <v>240</v>
      </c>
      <c r="Q169" s="12" t="s">
        <v>232</v>
      </c>
    </row>
    <row r="170" spans="1:17" s="53" customFormat="1" x14ac:dyDescent="0.2">
      <c r="A170" s="42" t="s">
        <v>34</v>
      </c>
      <c r="B170" s="43" t="s">
        <v>235</v>
      </c>
      <c r="C170" s="44">
        <v>8350</v>
      </c>
      <c r="D170" s="42">
        <f t="shared" si="6"/>
        <v>8350</v>
      </c>
      <c r="E170" s="45"/>
      <c r="F170" s="54" t="s">
        <v>305</v>
      </c>
      <c r="G170" s="54" t="s">
        <v>305</v>
      </c>
      <c r="H170" s="44" t="s">
        <v>228</v>
      </c>
      <c r="I170" s="46">
        <v>88.2</v>
      </c>
      <c r="J170" s="47" t="s">
        <v>239</v>
      </c>
      <c r="K170" s="48">
        <v>0</v>
      </c>
      <c r="L170" s="49">
        <f t="shared" si="7"/>
        <v>88.2</v>
      </c>
      <c r="M170" s="50">
        <v>0.1082</v>
      </c>
      <c r="N170" s="51">
        <f t="shared" si="8"/>
        <v>78.656760000000006</v>
      </c>
      <c r="O170" s="52">
        <f t="shared" si="9"/>
        <v>79.251143576826195</v>
      </c>
      <c r="P170" s="45" t="s">
        <v>240</v>
      </c>
      <c r="Q170" s="12" t="s">
        <v>232</v>
      </c>
    </row>
    <row r="171" spans="1:17" s="53" customFormat="1" x14ac:dyDescent="0.2">
      <c r="A171" s="42" t="s">
        <v>34</v>
      </c>
      <c r="B171" s="43" t="s">
        <v>235</v>
      </c>
      <c r="C171" s="44">
        <v>8340</v>
      </c>
      <c r="D171" s="42">
        <f t="shared" si="6"/>
        <v>8340</v>
      </c>
      <c r="E171" s="45"/>
      <c r="F171" s="54" t="s">
        <v>306</v>
      </c>
      <c r="G171" s="54" t="s">
        <v>306</v>
      </c>
      <c r="H171" s="44" t="s">
        <v>228</v>
      </c>
      <c r="I171" s="46">
        <v>88.2</v>
      </c>
      <c r="J171" s="47" t="s">
        <v>239</v>
      </c>
      <c r="K171" s="48">
        <v>0</v>
      </c>
      <c r="L171" s="49">
        <f t="shared" si="7"/>
        <v>88.2</v>
      </c>
      <c r="M171" s="50">
        <v>0.1082</v>
      </c>
      <c r="N171" s="51">
        <f t="shared" si="8"/>
        <v>78.656760000000006</v>
      </c>
      <c r="O171" s="52">
        <f t="shared" si="9"/>
        <v>79.251143576826195</v>
      </c>
      <c r="P171" s="45" t="s">
        <v>240</v>
      </c>
      <c r="Q171" s="12" t="s">
        <v>232</v>
      </c>
    </row>
    <row r="172" spans="1:17" s="53" customFormat="1" x14ac:dyDescent="0.2">
      <c r="A172" s="42" t="s">
        <v>34</v>
      </c>
      <c r="B172" s="43" t="s">
        <v>235</v>
      </c>
      <c r="C172" s="44">
        <v>8000</v>
      </c>
      <c r="D172" s="42">
        <f t="shared" si="6"/>
        <v>8000</v>
      </c>
      <c r="E172" s="45"/>
      <c r="F172" s="54" t="s">
        <v>307</v>
      </c>
      <c r="G172" s="54" t="s">
        <v>307</v>
      </c>
      <c r="H172" s="44" t="s">
        <v>228</v>
      </c>
      <c r="I172" s="46">
        <v>6.3</v>
      </c>
      <c r="J172" s="47" t="s">
        <v>239</v>
      </c>
      <c r="K172" s="48">
        <v>0</v>
      </c>
      <c r="L172" s="49">
        <f t="shared" si="7"/>
        <v>6.3</v>
      </c>
      <c r="M172" s="50">
        <v>0.1082</v>
      </c>
      <c r="N172" s="51">
        <f t="shared" si="8"/>
        <v>5.6183399999999999</v>
      </c>
      <c r="O172" s="52">
        <f t="shared" si="9"/>
        <v>5.6607959697732992</v>
      </c>
      <c r="P172" s="45" t="s">
        <v>240</v>
      </c>
      <c r="Q172" s="12" t="s">
        <v>232</v>
      </c>
    </row>
    <row r="173" spans="1:17" s="53" customFormat="1" x14ac:dyDescent="0.2">
      <c r="A173" s="42" t="s">
        <v>34</v>
      </c>
      <c r="B173" s="43" t="s">
        <v>235</v>
      </c>
      <c r="C173" s="44">
        <v>857</v>
      </c>
      <c r="D173" s="42">
        <f t="shared" si="6"/>
        <v>857</v>
      </c>
      <c r="E173" s="45"/>
      <c r="F173" s="54" t="s">
        <v>308</v>
      </c>
      <c r="G173" s="56" t="s">
        <v>309</v>
      </c>
      <c r="H173" s="44" t="s">
        <v>238</v>
      </c>
      <c r="I173" s="46">
        <v>41.3</v>
      </c>
      <c r="J173" s="47" t="s">
        <v>239</v>
      </c>
      <c r="K173" s="48">
        <v>0</v>
      </c>
      <c r="L173" s="49">
        <f t="shared" si="7"/>
        <v>41.3</v>
      </c>
      <c r="M173" s="50">
        <v>0.1082</v>
      </c>
      <c r="N173" s="51">
        <f t="shared" si="8"/>
        <v>36.831339999999997</v>
      </c>
      <c r="O173" s="52">
        <f t="shared" si="9"/>
        <v>37.109662468513847</v>
      </c>
      <c r="P173" s="45" t="s">
        <v>240</v>
      </c>
      <c r="Q173" s="12" t="s">
        <v>232</v>
      </c>
    </row>
    <row r="174" spans="1:17" s="53" customFormat="1" x14ac:dyDescent="0.2">
      <c r="A174" s="42" t="s">
        <v>34</v>
      </c>
      <c r="B174" s="43" t="s">
        <v>235</v>
      </c>
      <c r="C174" s="44" t="s">
        <v>310</v>
      </c>
      <c r="D174" s="42" t="str">
        <f t="shared" si="6"/>
        <v>857-2</v>
      </c>
      <c r="E174" s="45"/>
      <c r="F174" s="54" t="s">
        <v>308</v>
      </c>
      <c r="G174" s="56" t="s">
        <v>311</v>
      </c>
      <c r="H174" s="44" t="s">
        <v>238</v>
      </c>
      <c r="I174" s="46">
        <v>49.3</v>
      </c>
      <c r="J174" s="47" t="s">
        <v>239</v>
      </c>
      <c r="K174" s="48">
        <v>0</v>
      </c>
      <c r="L174" s="49">
        <f t="shared" si="7"/>
        <v>49.3</v>
      </c>
      <c r="M174" s="50">
        <v>0.1082</v>
      </c>
      <c r="N174" s="51">
        <f t="shared" si="8"/>
        <v>43.965739999999997</v>
      </c>
      <c r="O174" s="52">
        <f t="shared" si="9"/>
        <v>44.297974811083115</v>
      </c>
      <c r="P174" s="45" t="s">
        <v>240</v>
      </c>
      <c r="Q174" s="12" t="s">
        <v>232</v>
      </c>
    </row>
    <row r="175" spans="1:17" s="53" customFormat="1" x14ac:dyDescent="0.2">
      <c r="A175" s="42" t="s">
        <v>34</v>
      </c>
      <c r="B175" s="43" t="s">
        <v>235</v>
      </c>
      <c r="C175" s="44" t="s">
        <v>312</v>
      </c>
      <c r="D175" s="42" t="str">
        <f t="shared" si="6"/>
        <v>S00856</v>
      </c>
      <c r="E175" s="45"/>
      <c r="F175" s="54" t="s">
        <v>313</v>
      </c>
      <c r="G175" s="42" t="s">
        <v>314</v>
      </c>
      <c r="H175" s="44" t="s">
        <v>238</v>
      </c>
      <c r="I175" s="46">
        <v>40.299999999999997</v>
      </c>
      <c r="J175" s="47" t="s">
        <v>239</v>
      </c>
      <c r="K175" s="48">
        <v>0</v>
      </c>
      <c r="L175" s="49">
        <f t="shared" si="7"/>
        <v>40.299999999999997</v>
      </c>
      <c r="M175" s="50">
        <v>0.1082</v>
      </c>
      <c r="N175" s="51">
        <f t="shared" si="8"/>
        <v>35.939539999999994</v>
      </c>
      <c r="O175" s="52">
        <f t="shared" si="9"/>
        <v>36.211123425692691</v>
      </c>
      <c r="P175" s="45" t="s">
        <v>240</v>
      </c>
      <c r="Q175" s="12" t="s">
        <v>232</v>
      </c>
    </row>
    <row r="176" spans="1:17" s="53" customFormat="1" ht="25.5" x14ac:dyDescent="0.2">
      <c r="A176" s="42" t="s">
        <v>34</v>
      </c>
      <c r="B176" s="43" t="s">
        <v>235</v>
      </c>
      <c r="C176" s="44">
        <v>859</v>
      </c>
      <c r="D176" s="42">
        <f t="shared" si="6"/>
        <v>859</v>
      </c>
      <c r="E176" s="45"/>
      <c r="F176" s="54" t="s">
        <v>315</v>
      </c>
      <c r="G176" s="42" t="s">
        <v>316</v>
      </c>
      <c r="H176" s="44" t="s">
        <v>238</v>
      </c>
      <c r="I176" s="46">
        <v>61.3</v>
      </c>
      <c r="J176" s="47" t="s">
        <v>239</v>
      </c>
      <c r="K176" s="48">
        <v>0</v>
      </c>
      <c r="L176" s="49">
        <f t="shared" si="7"/>
        <v>61.3</v>
      </c>
      <c r="M176" s="50">
        <v>0.1082</v>
      </c>
      <c r="N176" s="51">
        <f t="shared" si="8"/>
        <v>54.667339999999996</v>
      </c>
      <c r="O176" s="52">
        <f t="shared" si="9"/>
        <v>55.080443324937022</v>
      </c>
      <c r="P176" s="45" t="s">
        <v>240</v>
      </c>
      <c r="Q176" s="12" t="s">
        <v>232</v>
      </c>
    </row>
    <row r="177" spans="1:19" s="53" customFormat="1" x14ac:dyDescent="0.2">
      <c r="A177" s="42" t="s">
        <v>34</v>
      </c>
      <c r="B177" s="43" t="s">
        <v>235</v>
      </c>
      <c r="C177" s="44">
        <v>4001</v>
      </c>
      <c r="D177" s="42">
        <f t="shared" si="6"/>
        <v>4001</v>
      </c>
      <c r="E177" s="45"/>
      <c r="F177" s="54" t="s">
        <v>317</v>
      </c>
      <c r="G177" s="44" t="s">
        <v>318</v>
      </c>
      <c r="H177" s="44" t="s">
        <v>238</v>
      </c>
      <c r="I177" s="46">
        <v>64.2</v>
      </c>
      <c r="J177" s="47" t="s">
        <v>239</v>
      </c>
      <c r="K177" s="48">
        <v>0</v>
      </c>
      <c r="L177" s="49">
        <f t="shared" si="7"/>
        <v>64.2</v>
      </c>
      <c r="M177" s="50">
        <v>0.1082</v>
      </c>
      <c r="N177" s="51">
        <f t="shared" si="8"/>
        <v>57.25356</v>
      </c>
      <c r="O177" s="52">
        <f t="shared" si="9"/>
        <v>57.686206549118388</v>
      </c>
      <c r="P177" s="45" t="s">
        <v>240</v>
      </c>
      <c r="Q177" s="12" t="s">
        <v>232</v>
      </c>
    </row>
    <row r="178" spans="1:19" s="53" customFormat="1" x14ac:dyDescent="0.2">
      <c r="A178" s="42" t="s">
        <v>34</v>
      </c>
      <c r="B178" s="43" t="s">
        <v>235</v>
      </c>
      <c r="C178" s="44">
        <v>4003</v>
      </c>
      <c r="D178" s="42">
        <f t="shared" si="6"/>
        <v>4003</v>
      </c>
      <c r="E178" s="45"/>
      <c r="F178" s="54" t="s">
        <v>317</v>
      </c>
      <c r="G178" s="44" t="s">
        <v>244</v>
      </c>
      <c r="H178" s="44" t="s">
        <v>238</v>
      </c>
      <c r="I178" s="46">
        <v>64.2</v>
      </c>
      <c r="J178" s="47" t="s">
        <v>239</v>
      </c>
      <c r="K178" s="48">
        <v>0</v>
      </c>
      <c r="L178" s="49">
        <f t="shared" si="7"/>
        <v>64.2</v>
      </c>
      <c r="M178" s="50">
        <v>0.1082</v>
      </c>
      <c r="N178" s="51">
        <f t="shared" si="8"/>
        <v>57.25356</v>
      </c>
      <c r="O178" s="52">
        <f t="shared" si="9"/>
        <v>57.686206549118388</v>
      </c>
      <c r="P178" s="45" t="s">
        <v>240</v>
      </c>
      <c r="Q178" s="12" t="s">
        <v>232</v>
      </c>
    </row>
    <row r="179" spans="1:19" s="53" customFormat="1" x14ac:dyDescent="0.2">
      <c r="A179" s="42" t="s">
        <v>34</v>
      </c>
      <c r="B179" s="43" t="s">
        <v>235</v>
      </c>
      <c r="C179" s="44">
        <v>4005</v>
      </c>
      <c r="D179" s="42">
        <f t="shared" si="6"/>
        <v>4005</v>
      </c>
      <c r="E179" s="45"/>
      <c r="F179" s="54" t="s">
        <v>317</v>
      </c>
      <c r="G179" s="44" t="s">
        <v>319</v>
      </c>
      <c r="H179" s="44" t="s">
        <v>238</v>
      </c>
      <c r="I179" s="46">
        <v>64.2</v>
      </c>
      <c r="J179" s="47" t="s">
        <v>239</v>
      </c>
      <c r="K179" s="48">
        <v>0</v>
      </c>
      <c r="L179" s="49">
        <f t="shared" si="7"/>
        <v>64.2</v>
      </c>
      <c r="M179" s="50">
        <v>0.1082</v>
      </c>
      <c r="N179" s="51">
        <f t="shared" si="8"/>
        <v>57.25356</v>
      </c>
      <c r="O179" s="52">
        <f t="shared" si="9"/>
        <v>57.686206549118388</v>
      </c>
      <c r="P179" s="45" t="s">
        <v>240</v>
      </c>
      <c r="Q179" s="12" t="s">
        <v>232</v>
      </c>
    </row>
    <row r="180" spans="1:19" s="53" customFormat="1" x14ac:dyDescent="0.2">
      <c r="A180" s="42" t="s">
        <v>34</v>
      </c>
      <c r="B180" s="43" t="s">
        <v>235</v>
      </c>
      <c r="C180" s="44">
        <v>4007</v>
      </c>
      <c r="D180" s="42">
        <f t="shared" si="6"/>
        <v>4007</v>
      </c>
      <c r="E180" s="45"/>
      <c r="F180" s="54" t="s">
        <v>317</v>
      </c>
      <c r="G180" s="44" t="s">
        <v>320</v>
      </c>
      <c r="H180" s="44" t="s">
        <v>238</v>
      </c>
      <c r="I180" s="46">
        <v>64.2</v>
      </c>
      <c r="J180" s="47" t="s">
        <v>239</v>
      </c>
      <c r="K180" s="48">
        <v>0</v>
      </c>
      <c r="L180" s="49">
        <f t="shared" si="7"/>
        <v>64.2</v>
      </c>
      <c r="M180" s="50">
        <v>0.1082</v>
      </c>
      <c r="N180" s="51">
        <f t="shared" si="8"/>
        <v>57.25356</v>
      </c>
      <c r="O180" s="52">
        <f t="shared" si="9"/>
        <v>57.686206549118388</v>
      </c>
      <c r="P180" s="45" t="s">
        <v>240</v>
      </c>
      <c r="Q180" s="12" t="s">
        <v>232</v>
      </c>
    </row>
    <row r="181" spans="1:19" s="53" customFormat="1" x14ac:dyDescent="0.2">
      <c r="A181" s="42" t="s">
        <v>34</v>
      </c>
      <c r="B181" s="43" t="s">
        <v>235</v>
      </c>
      <c r="C181" s="44" t="s">
        <v>321</v>
      </c>
      <c r="D181" s="42" t="str">
        <f t="shared" si="6"/>
        <v>SCD154P</v>
      </c>
      <c r="E181" s="45"/>
      <c r="F181" s="54" t="s">
        <v>322</v>
      </c>
      <c r="G181" s="56" t="s">
        <v>323</v>
      </c>
      <c r="H181" s="44">
        <v>1000</v>
      </c>
      <c r="I181" s="46">
        <v>148</v>
      </c>
      <c r="J181" s="47" t="s">
        <v>239</v>
      </c>
      <c r="K181" s="48">
        <v>0</v>
      </c>
      <c r="L181" s="49">
        <f t="shared" si="7"/>
        <v>148</v>
      </c>
      <c r="M181" s="50">
        <v>0.1082</v>
      </c>
      <c r="N181" s="51">
        <f t="shared" si="8"/>
        <v>131.9864</v>
      </c>
      <c r="O181" s="52">
        <f t="shared" si="9"/>
        <v>132.98377833753148</v>
      </c>
      <c r="P181" s="45" t="s">
        <v>240</v>
      </c>
      <c r="Q181" s="12" t="s">
        <v>232</v>
      </c>
    </row>
    <row r="182" spans="1:19" s="53" customFormat="1" x14ac:dyDescent="0.2">
      <c r="A182" s="42" t="s">
        <v>34</v>
      </c>
      <c r="B182" s="43" t="s">
        <v>235</v>
      </c>
      <c r="C182" s="44" t="s">
        <v>324</v>
      </c>
      <c r="D182" s="42" t="str">
        <f t="shared" si="6"/>
        <v>SCD154PP</v>
      </c>
      <c r="E182" s="45"/>
      <c r="F182" s="54" t="s">
        <v>322</v>
      </c>
      <c r="G182" s="56" t="s">
        <v>325</v>
      </c>
      <c r="H182" s="44">
        <v>1000</v>
      </c>
      <c r="I182" s="46">
        <v>151.19999999999999</v>
      </c>
      <c r="J182" s="47" t="s">
        <v>239</v>
      </c>
      <c r="K182" s="48">
        <v>0</v>
      </c>
      <c r="L182" s="49">
        <f t="shared" si="7"/>
        <v>151.19999999999999</v>
      </c>
      <c r="M182" s="50">
        <v>0.1082</v>
      </c>
      <c r="N182" s="51">
        <f t="shared" si="8"/>
        <v>134.84016</v>
      </c>
      <c r="O182" s="52">
        <f t="shared" si="9"/>
        <v>135.85910327455917</v>
      </c>
      <c r="P182" s="45" t="s">
        <v>240</v>
      </c>
      <c r="Q182" s="12" t="s">
        <v>232</v>
      </c>
    </row>
    <row r="183" spans="1:19" s="53" customFormat="1" x14ac:dyDescent="0.2">
      <c r="A183" s="42" t="s">
        <v>34</v>
      </c>
      <c r="B183" s="43" t="s">
        <v>235</v>
      </c>
      <c r="C183" s="44" t="s">
        <v>326</v>
      </c>
      <c r="D183" s="42" t="str">
        <f t="shared" si="6"/>
        <v>SCD154FC</v>
      </c>
      <c r="E183" s="45"/>
      <c r="F183" s="54" t="s">
        <v>322</v>
      </c>
      <c r="G183" s="56" t="s">
        <v>327</v>
      </c>
      <c r="H183" s="44">
        <v>1000</v>
      </c>
      <c r="I183" s="46">
        <v>162.4</v>
      </c>
      <c r="J183" s="47" t="s">
        <v>239</v>
      </c>
      <c r="K183" s="48">
        <v>0</v>
      </c>
      <c r="L183" s="49">
        <f t="shared" si="7"/>
        <v>162.4</v>
      </c>
      <c r="M183" s="50">
        <v>0.1082</v>
      </c>
      <c r="N183" s="51">
        <f t="shared" si="8"/>
        <v>144.82832000000002</v>
      </c>
      <c r="O183" s="52">
        <f t="shared" si="9"/>
        <v>145.92274055415618</v>
      </c>
      <c r="P183" s="45" t="s">
        <v>240</v>
      </c>
      <c r="Q183" s="12" t="s">
        <v>232</v>
      </c>
    </row>
    <row r="184" spans="1:19" s="53" customFormat="1" x14ac:dyDescent="0.2">
      <c r="A184" s="42" t="s">
        <v>34</v>
      </c>
      <c r="B184" s="43" t="s">
        <v>235</v>
      </c>
      <c r="C184" s="44" t="s">
        <v>328</v>
      </c>
      <c r="D184" s="42" t="str">
        <f t="shared" si="6"/>
        <v>SCD155P</v>
      </c>
      <c r="E184" s="45"/>
      <c r="F184" s="54" t="s">
        <v>322</v>
      </c>
      <c r="G184" s="56" t="s">
        <v>329</v>
      </c>
      <c r="H184" s="44">
        <v>1000</v>
      </c>
      <c r="I184" s="46">
        <v>185.4</v>
      </c>
      <c r="J184" s="47" t="s">
        <v>239</v>
      </c>
      <c r="K184" s="48">
        <v>0</v>
      </c>
      <c r="L184" s="49">
        <f t="shared" si="7"/>
        <v>185.4</v>
      </c>
      <c r="M184" s="50">
        <v>0.1082</v>
      </c>
      <c r="N184" s="51">
        <f t="shared" si="8"/>
        <v>165.33972</v>
      </c>
      <c r="O184" s="52">
        <f t="shared" si="9"/>
        <v>166.58913853904281</v>
      </c>
      <c r="P184" s="45" t="s">
        <v>240</v>
      </c>
      <c r="Q184" s="12" t="s">
        <v>232</v>
      </c>
    </row>
    <row r="185" spans="1:19" s="53" customFormat="1" x14ac:dyDescent="0.2">
      <c r="A185" s="42" t="s">
        <v>34</v>
      </c>
      <c r="B185" s="43" t="s">
        <v>235</v>
      </c>
      <c r="C185" s="44" t="s">
        <v>330</v>
      </c>
      <c r="D185" s="42" t="str">
        <f t="shared" si="6"/>
        <v>SCD155PP</v>
      </c>
      <c r="E185" s="45"/>
      <c r="F185" s="54" t="s">
        <v>322</v>
      </c>
      <c r="G185" s="56" t="s">
        <v>331</v>
      </c>
      <c r="H185" s="44">
        <v>1000</v>
      </c>
      <c r="I185" s="46">
        <v>198.1</v>
      </c>
      <c r="J185" s="47" t="s">
        <v>239</v>
      </c>
      <c r="K185" s="48">
        <v>0</v>
      </c>
      <c r="L185" s="49">
        <f t="shared" si="7"/>
        <v>198.1</v>
      </c>
      <c r="M185" s="50">
        <v>0.1082</v>
      </c>
      <c r="N185" s="51">
        <f t="shared" si="8"/>
        <v>176.66558000000001</v>
      </c>
      <c r="O185" s="52">
        <f t="shared" si="9"/>
        <v>178.00058438287152</v>
      </c>
      <c r="P185" s="45" t="s">
        <v>240</v>
      </c>
      <c r="Q185" s="12" t="s">
        <v>232</v>
      </c>
    </row>
    <row r="186" spans="1:19" s="53" customFormat="1" x14ac:dyDescent="0.2">
      <c r="A186" s="42" t="s">
        <v>34</v>
      </c>
      <c r="B186" s="43" t="s">
        <v>235</v>
      </c>
      <c r="C186" s="44" t="s">
        <v>332</v>
      </c>
      <c r="D186" s="42" t="str">
        <f t="shared" si="6"/>
        <v>SCD155FC</v>
      </c>
      <c r="E186" s="45"/>
      <c r="F186" s="54" t="s">
        <v>322</v>
      </c>
      <c r="G186" s="56" t="s">
        <v>333</v>
      </c>
      <c r="H186" s="44">
        <v>1000</v>
      </c>
      <c r="I186" s="46">
        <v>203.7</v>
      </c>
      <c r="J186" s="47" t="s">
        <v>239</v>
      </c>
      <c r="K186" s="48">
        <v>0</v>
      </c>
      <c r="L186" s="49">
        <f t="shared" si="7"/>
        <v>203.7</v>
      </c>
      <c r="M186" s="50">
        <v>0.1082</v>
      </c>
      <c r="N186" s="51">
        <f t="shared" si="8"/>
        <v>181.65965999999997</v>
      </c>
      <c r="O186" s="52">
        <f t="shared" si="9"/>
        <v>183.03240302267</v>
      </c>
      <c r="P186" s="45" t="s">
        <v>240</v>
      </c>
      <c r="Q186" s="12" t="s">
        <v>232</v>
      </c>
    </row>
    <row r="187" spans="1:19" s="53" customFormat="1" x14ac:dyDescent="0.2">
      <c r="A187" s="42" t="s">
        <v>34</v>
      </c>
      <c r="B187" s="43" t="s">
        <v>235</v>
      </c>
      <c r="C187" s="44" t="s">
        <v>334</v>
      </c>
      <c r="D187" s="42" t="str">
        <f t="shared" si="6"/>
        <v>SCD166P</v>
      </c>
      <c r="E187" s="45"/>
      <c r="F187" s="54" t="s">
        <v>322</v>
      </c>
      <c r="G187" s="56" t="s">
        <v>335</v>
      </c>
      <c r="H187" s="44">
        <v>1000</v>
      </c>
      <c r="I187" s="46">
        <v>194</v>
      </c>
      <c r="J187" s="47" t="s">
        <v>239</v>
      </c>
      <c r="K187" s="48">
        <v>0</v>
      </c>
      <c r="L187" s="49">
        <f t="shared" si="7"/>
        <v>194</v>
      </c>
      <c r="M187" s="50">
        <v>0.1082</v>
      </c>
      <c r="N187" s="51">
        <f t="shared" si="8"/>
        <v>173.00919999999999</v>
      </c>
      <c r="O187" s="52">
        <f t="shared" si="9"/>
        <v>174.31657430730476</v>
      </c>
      <c r="P187" s="45" t="s">
        <v>240</v>
      </c>
      <c r="Q187" s="12" t="s">
        <v>232</v>
      </c>
    </row>
    <row r="188" spans="1:19" s="53" customFormat="1" ht="15" customHeight="1" x14ac:dyDescent="0.2">
      <c r="A188" s="42" t="s">
        <v>34</v>
      </c>
      <c r="B188" s="43" t="s">
        <v>235</v>
      </c>
      <c r="C188" s="44" t="s">
        <v>336</v>
      </c>
      <c r="D188" s="42" t="str">
        <f t="shared" si="6"/>
        <v>SCD166PP</v>
      </c>
      <c r="E188" s="57"/>
      <c r="F188" s="54" t="s">
        <v>322</v>
      </c>
      <c r="G188" s="56" t="s">
        <v>337</v>
      </c>
      <c r="H188" s="44">
        <v>1000</v>
      </c>
      <c r="I188" s="46">
        <v>204.4</v>
      </c>
      <c r="J188" s="47" t="s">
        <v>239</v>
      </c>
      <c r="K188" s="48">
        <v>0</v>
      </c>
      <c r="L188" s="49">
        <f t="shared" si="7"/>
        <v>204.4</v>
      </c>
      <c r="M188" s="50">
        <v>0.1082</v>
      </c>
      <c r="N188" s="51">
        <f t="shared" si="8"/>
        <v>182.28391999999999</v>
      </c>
      <c r="O188" s="52">
        <f t="shared" si="9"/>
        <v>183.66138035264481</v>
      </c>
      <c r="P188" s="45" t="s">
        <v>240</v>
      </c>
      <c r="Q188" s="12" t="s">
        <v>232</v>
      </c>
      <c r="R188" s="57"/>
      <c r="S188" s="57"/>
    </row>
    <row r="189" spans="1:19" s="53" customFormat="1" ht="15" customHeight="1" x14ac:dyDescent="0.2">
      <c r="A189" s="42" t="s">
        <v>34</v>
      </c>
      <c r="B189" s="43" t="s">
        <v>235</v>
      </c>
      <c r="C189" s="44" t="s">
        <v>338</v>
      </c>
      <c r="D189" s="42" t="str">
        <f t="shared" si="6"/>
        <v>SCD166FC</v>
      </c>
      <c r="F189" s="54" t="s">
        <v>322</v>
      </c>
      <c r="G189" s="56" t="s">
        <v>339</v>
      </c>
      <c r="H189" s="44">
        <v>1000</v>
      </c>
      <c r="I189" s="46">
        <v>225.7</v>
      </c>
      <c r="J189" s="47" t="s">
        <v>239</v>
      </c>
      <c r="K189" s="48">
        <v>0</v>
      </c>
      <c r="L189" s="49">
        <f t="shared" si="7"/>
        <v>225.7</v>
      </c>
      <c r="M189" s="50">
        <v>0.1082</v>
      </c>
      <c r="N189" s="51">
        <f t="shared" si="8"/>
        <v>201.27925999999999</v>
      </c>
      <c r="O189" s="52">
        <f t="shared" si="9"/>
        <v>202.80026196473551</v>
      </c>
      <c r="P189" s="45" t="s">
        <v>240</v>
      </c>
      <c r="Q189" s="12" t="s">
        <v>232</v>
      </c>
    </row>
    <row r="190" spans="1:19" s="53" customFormat="1" x14ac:dyDescent="0.2">
      <c r="A190" s="42" t="s">
        <v>34</v>
      </c>
      <c r="B190" s="43" t="s">
        <v>235</v>
      </c>
      <c r="C190" s="44" t="s">
        <v>340</v>
      </c>
      <c r="D190" s="42" t="str">
        <f t="shared" si="6"/>
        <v>SCD181P</v>
      </c>
      <c r="F190" s="54" t="s">
        <v>322</v>
      </c>
      <c r="G190" s="56" t="s">
        <v>341</v>
      </c>
      <c r="H190" s="44">
        <v>1000</v>
      </c>
      <c r="I190" s="46">
        <v>371.5</v>
      </c>
      <c r="J190" s="47" t="s">
        <v>239</v>
      </c>
      <c r="K190" s="48">
        <v>0</v>
      </c>
      <c r="L190" s="49">
        <f t="shared" si="7"/>
        <v>371.5</v>
      </c>
      <c r="M190" s="50">
        <v>0.1082</v>
      </c>
      <c r="N190" s="51">
        <f t="shared" si="8"/>
        <v>331.30369999999999</v>
      </c>
      <c r="O190" s="52">
        <f t="shared" si="9"/>
        <v>333.80725440806043</v>
      </c>
      <c r="P190" s="45" t="s">
        <v>240</v>
      </c>
      <c r="Q190" s="12" t="s">
        <v>232</v>
      </c>
    </row>
    <row r="191" spans="1:19" s="53" customFormat="1" ht="15" customHeight="1" x14ac:dyDescent="0.2">
      <c r="A191" s="42" t="s">
        <v>34</v>
      </c>
      <c r="B191" s="43" t="s">
        <v>235</v>
      </c>
      <c r="C191" s="44" t="s">
        <v>342</v>
      </c>
      <c r="D191" s="42" t="str">
        <f t="shared" si="6"/>
        <v>SCD181PP</v>
      </c>
      <c r="F191" s="54" t="s">
        <v>322</v>
      </c>
      <c r="G191" s="56" t="s">
        <v>343</v>
      </c>
      <c r="H191" s="44">
        <v>1000</v>
      </c>
      <c r="I191" s="46">
        <v>376.5</v>
      </c>
      <c r="J191" s="47" t="s">
        <v>239</v>
      </c>
      <c r="K191" s="48">
        <v>0</v>
      </c>
      <c r="L191" s="49">
        <f t="shared" si="7"/>
        <v>376.5</v>
      </c>
      <c r="M191" s="50">
        <v>0.1082</v>
      </c>
      <c r="N191" s="51">
        <f t="shared" si="8"/>
        <v>335.7627</v>
      </c>
      <c r="O191" s="52">
        <f t="shared" si="9"/>
        <v>338.29994962216625</v>
      </c>
      <c r="P191" s="45" t="s">
        <v>240</v>
      </c>
      <c r="Q191" s="12" t="s">
        <v>232</v>
      </c>
    </row>
    <row r="192" spans="1:19" s="53" customFormat="1" ht="15" customHeight="1" x14ac:dyDescent="0.2">
      <c r="A192" s="42" t="s">
        <v>34</v>
      </c>
      <c r="B192" s="43" t="s">
        <v>235</v>
      </c>
      <c r="C192" s="44" t="s">
        <v>344</v>
      </c>
      <c r="D192" s="42" t="str">
        <f t="shared" si="6"/>
        <v>SCD181FC</v>
      </c>
      <c r="F192" s="54" t="s">
        <v>322</v>
      </c>
      <c r="G192" s="56" t="s">
        <v>345</v>
      </c>
      <c r="H192" s="44">
        <v>1000</v>
      </c>
      <c r="I192" s="46">
        <v>449.1</v>
      </c>
      <c r="J192" s="47" t="s">
        <v>239</v>
      </c>
      <c r="K192" s="48">
        <v>0</v>
      </c>
      <c r="L192" s="49">
        <f t="shared" si="7"/>
        <v>449.1</v>
      </c>
      <c r="M192" s="50">
        <v>0.1082</v>
      </c>
      <c r="N192" s="51">
        <f t="shared" si="8"/>
        <v>400.50738000000001</v>
      </c>
      <c r="O192" s="52">
        <f t="shared" si="9"/>
        <v>403.53388413098236</v>
      </c>
      <c r="P192" s="45" t="s">
        <v>240</v>
      </c>
      <c r="Q192" s="12" t="s">
        <v>232</v>
      </c>
    </row>
    <row r="193" spans="1:19" s="53" customFormat="1" ht="15" customHeight="1" x14ac:dyDescent="0.2">
      <c r="A193" s="42" t="s">
        <v>34</v>
      </c>
      <c r="B193" s="43" t="s">
        <v>235</v>
      </c>
      <c r="C193" s="44" t="s">
        <v>346</v>
      </c>
      <c r="D193" s="42" t="str">
        <f t="shared" si="6"/>
        <v>SCD254P</v>
      </c>
      <c r="F193" s="54" t="s">
        <v>322</v>
      </c>
      <c r="G193" s="56" t="s">
        <v>347</v>
      </c>
      <c r="H193" s="44">
        <v>1000</v>
      </c>
      <c r="I193" s="46">
        <v>188.7</v>
      </c>
      <c r="J193" s="47" t="s">
        <v>239</v>
      </c>
      <c r="K193" s="48">
        <v>0</v>
      </c>
      <c r="L193" s="49">
        <f t="shared" si="7"/>
        <v>188.7</v>
      </c>
      <c r="M193" s="50">
        <v>0.1082</v>
      </c>
      <c r="N193" s="51">
        <f t="shared" si="8"/>
        <v>168.28265999999999</v>
      </c>
      <c r="O193" s="52">
        <f t="shared" si="9"/>
        <v>169.55431738035264</v>
      </c>
      <c r="P193" s="45" t="s">
        <v>240</v>
      </c>
      <c r="Q193" s="12" t="s">
        <v>232</v>
      </c>
    </row>
    <row r="194" spans="1:19" s="53" customFormat="1" x14ac:dyDescent="0.2">
      <c r="A194" s="42" t="s">
        <v>34</v>
      </c>
      <c r="B194" s="43" t="s">
        <v>235</v>
      </c>
      <c r="C194" s="44" t="s">
        <v>348</v>
      </c>
      <c r="D194" s="42" t="str">
        <f t="shared" si="6"/>
        <v>SCD254PP</v>
      </c>
      <c r="E194" s="58"/>
      <c r="F194" s="54" t="s">
        <v>322</v>
      </c>
      <c r="G194" s="56" t="s">
        <v>349</v>
      </c>
      <c r="H194" s="44">
        <v>1000</v>
      </c>
      <c r="I194" s="46">
        <v>196.6</v>
      </c>
      <c r="J194" s="47" t="s">
        <v>239</v>
      </c>
      <c r="K194" s="48">
        <v>0</v>
      </c>
      <c r="L194" s="49">
        <f t="shared" si="7"/>
        <v>196.6</v>
      </c>
      <c r="M194" s="50">
        <v>0.1082</v>
      </c>
      <c r="N194" s="51">
        <f t="shared" si="8"/>
        <v>175.32787999999999</v>
      </c>
      <c r="O194" s="52">
        <f t="shared" si="9"/>
        <v>176.65277581863978</v>
      </c>
      <c r="P194" s="45" t="s">
        <v>240</v>
      </c>
      <c r="Q194" s="12" t="s">
        <v>232</v>
      </c>
      <c r="R194" s="58"/>
      <c r="S194" s="58"/>
    </row>
    <row r="195" spans="1:19" s="53" customFormat="1" x14ac:dyDescent="0.2">
      <c r="A195" s="42" t="s">
        <v>34</v>
      </c>
      <c r="B195" s="43" t="s">
        <v>235</v>
      </c>
      <c r="C195" s="44" t="s">
        <v>350</v>
      </c>
      <c r="D195" s="42" t="str">
        <f t="shared" si="6"/>
        <v>SCD254FC</v>
      </c>
      <c r="E195" s="57"/>
      <c r="F195" s="54" t="s">
        <v>322</v>
      </c>
      <c r="G195" s="56" t="s">
        <v>351</v>
      </c>
      <c r="H195" s="44">
        <v>1000</v>
      </c>
      <c r="I195" s="46">
        <v>219</v>
      </c>
      <c r="J195" s="47" t="s">
        <v>239</v>
      </c>
      <c r="K195" s="48">
        <v>0</v>
      </c>
      <c r="L195" s="49">
        <f t="shared" si="7"/>
        <v>219</v>
      </c>
      <c r="M195" s="50">
        <v>0.1082</v>
      </c>
      <c r="N195" s="51">
        <f t="shared" si="8"/>
        <v>195.30420000000001</v>
      </c>
      <c r="O195" s="52">
        <f t="shared" si="9"/>
        <v>196.78005037783376</v>
      </c>
      <c r="P195" s="45" t="s">
        <v>240</v>
      </c>
      <c r="Q195" s="12" t="s">
        <v>232</v>
      </c>
      <c r="R195" s="57"/>
      <c r="S195" s="57"/>
    </row>
    <row r="196" spans="1:19" s="53" customFormat="1" x14ac:dyDescent="0.2">
      <c r="A196" s="42" t="s">
        <v>34</v>
      </c>
      <c r="B196" s="43" t="s">
        <v>235</v>
      </c>
      <c r="C196" s="44" t="s">
        <v>352</v>
      </c>
      <c r="D196" s="42" t="str">
        <f t="shared" si="6"/>
        <v>SCD255P</v>
      </c>
      <c r="E196" s="59"/>
      <c r="F196" s="54" t="s">
        <v>322</v>
      </c>
      <c r="G196" s="56" t="s">
        <v>353</v>
      </c>
      <c r="H196" s="44">
        <v>1000</v>
      </c>
      <c r="I196" s="46">
        <v>252.4</v>
      </c>
      <c r="J196" s="47" t="s">
        <v>239</v>
      </c>
      <c r="K196" s="48">
        <v>0</v>
      </c>
      <c r="L196" s="49">
        <f t="shared" si="7"/>
        <v>252.4</v>
      </c>
      <c r="M196" s="50">
        <v>0.1082</v>
      </c>
      <c r="N196" s="51">
        <f t="shared" si="8"/>
        <v>225.09032000000002</v>
      </c>
      <c r="O196" s="52">
        <f t="shared" si="9"/>
        <v>226.79125440806047</v>
      </c>
      <c r="P196" s="45" t="s">
        <v>240</v>
      </c>
      <c r="Q196" s="12" t="s">
        <v>232</v>
      </c>
      <c r="R196" s="59"/>
      <c r="S196" s="59"/>
    </row>
    <row r="197" spans="1:19" s="53" customFormat="1" x14ac:dyDescent="0.2">
      <c r="A197" s="42" t="s">
        <v>34</v>
      </c>
      <c r="B197" s="43" t="s">
        <v>235</v>
      </c>
      <c r="C197" s="44" t="s">
        <v>354</v>
      </c>
      <c r="D197" s="42" t="str">
        <f t="shared" si="6"/>
        <v>SCD255PP</v>
      </c>
      <c r="E197" s="59"/>
      <c r="F197" s="54" t="s">
        <v>322</v>
      </c>
      <c r="G197" s="56" t="s">
        <v>355</v>
      </c>
      <c r="H197" s="44">
        <v>1000</v>
      </c>
      <c r="I197" s="46">
        <v>294.10000000000002</v>
      </c>
      <c r="J197" s="47" t="s">
        <v>239</v>
      </c>
      <c r="K197" s="48">
        <v>0</v>
      </c>
      <c r="L197" s="49">
        <f t="shared" si="7"/>
        <v>294.10000000000002</v>
      </c>
      <c r="M197" s="50">
        <v>0.1082</v>
      </c>
      <c r="N197" s="51">
        <f t="shared" si="8"/>
        <v>262.27838000000003</v>
      </c>
      <c r="O197" s="52">
        <f t="shared" si="9"/>
        <v>264.26033249370278</v>
      </c>
      <c r="P197" s="45" t="s">
        <v>240</v>
      </c>
      <c r="Q197" s="12" t="s">
        <v>232</v>
      </c>
      <c r="R197" s="59"/>
      <c r="S197" s="59"/>
    </row>
    <row r="198" spans="1:19" s="53" customFormat="1" x14ac:dyDescent="0.2">
      <c r="A198" s="42" t="s">
        <v>34</v>
      </c>
      <c r="B198" s="43" t="s">
        <v>235</v>
      </c>
      <c r="C198" s="44" t="s">
        <v>356</v>
      </c>
      <c r="D198" s="42" t="str">
        <f t="shared" si="6"/>
        <v>SCD255FC</v>
      </c>
      <c r="E198" s="59"/>
      <c r="F198" s="54" t="s">
        <v>322</v>
      </c>
      <c r="G198" s="56" t="s">
        <v>357</v>
      </c>
      <c r="H198" s="44">
        <v>1000</v>
      </c>
      <c r="I198" s="46">
        <v>299.10000000000002</v>
      </c>
      <c r="J198" s="47" t="s">
        <v>239</v>
      </c>
      <c r="K198" s="48">
        <v>0</v>
      </c>
      <c r="L198" s="49">
        <f t="shared" si="7"/>
        <v>299.10000000000002</v>
      </c>
      <c r="M198" s="50">
        <v>0.1082</v>
      </c>
      <c r="N198" s="51">
        <f t="shared" si="8"/>
        <v>266.73738000000003</v>
      </c>
      <c r="O198" s="52">
        <f t="shared" si="9"/>
        <v>268.7530277078086</v>
      </c>
      <c r="P198" s="45" t="s">
        <v>240</v>
      </c>
      <c r="Q198" s="12" t="s">
        <v>232</v>
      </c>
      <c r="R198" s="59"/>
      <c r="S198" s="59"/>
    </row>
    <row r="199" spans="1:19" s="53" customFormat="1" x14ac:dyDescent="0.2">
      <c r="A199" s="42" t="s">
        <v>34</v>
      </c>
      <c r="B199" s="43" t="s">
        <v>235</v>
      </c>
      <c r="C199" s="44" t="s">
        <v>358</v>
      </c>
      <c r="D199" s="59" t="str">
        <f>C199</f>
        <v>SCD266P</v>
      </c>
      <c r="E199" s="59"/>
      <c r="F199" s="54" t="s">
        <v>322</v>
      </c>
      <c r="G199" s="56" t="s">
        <v>359</v>
      </c>
      <c r="H199" s="44">
        <v>1000</v>
      </c>
      <c r="I199" s="46">
        <v>263.39999999999998</v>
      </c>
      <c r="J199" s="47" t="s">
        <v>239</v>
      </c>
      <c r="K199" s="48">
        <v>0</v>
      </c>
      <c r="L199" s="49">
        <f t="shared" si="7"/>
        <v>263.39999999999998</v>
      </c>
      <c r="M199" s="50">
        <v>0.1082</v>
      </c>
      <c r="N199" s="51">
        <f t="shared" si="8"/>
        <v>234.90011999999999</v>
      </c>
      <c r="O199" s="52">
        <f t="shared" si="9"/>
        <v>236.67518387909317</v>
      </c>
      <c r="P199" s="45" t="s">
        <v>240</v>
      </c>
      <c r="Q199" s="12" t="s">
        <v>232</v>
      </c>
      <c r="R199" s="59"/>
      <c r="S199" s="59"/>
    </row>
    <row r="200" spans="1:19" s="53" customFormat="1" x14ac:dyDescent="0.2">
      <c r="A200" s="42" t="s">
        <v>34</v>
      </c>
      <c r="B200" s="43" t="s">
        <v>235</v>
      </c>
      <c r="C200" s="44" t="s">
        <v>360</v>
      </c>
      <c r="D200" s="59" t="str">
        <f t="shared" ref="D200:D216" si="10">C200</f>
        <v>SCD266PP</v>
      </c>
      <c r="E200" s="59"/>
      <c r="F200" s="54" t="s">
        <v>322</v>
      </c>
      <c r="G200" s="56" t="s">
        <v>361</v>
      </c>
      <c r="H200" s="44">
        <v>1000</v>
      </c>
      <c r="I200" s="46">
        <v>302.39999999999998</v>
      </c>
      <c r="J200" s="47" t="s">
        <v>239</v>
      </c>
      <c r="K200" s="48">
        <v>0</v>
      </c>
      <c r="L200" s="49">
        <f t="shared" si="7"/>
        <v>302.39999999999998</v>
      </c>
      <c r="M200" s="50">
        <v>0.1082</v>
      </c>
      <c r="N200" s="51">
        <f t="shared" si="8"/>
        <v>269.68031999999999</v>
      </c>
      <c r="O200" s="52">
        <f t="shared" si="9"/>
        <v>271.71820654911835</v>
      </c>
      <c r="P200" s="45" t="s">
        <v>240</v>
      </c>
      <c r="Q200" s="12" t="s">
        <v>232</v>
      </c>
      <c r="R200" s="59"/>
      <c r="S200" s="59"/>
    </row>
    <row r="201" spans="1:19" s="59" customFormat="1" ht="15.75" customHeight="1" x14ac:dyDescent="0.2">
      <c r="A201" s="42" t="s">
        <v>34</v>
      </c>
      <c r="B201" s="43" t="s">
        <v>235</v>
      </c>
      <c r="C201" s="44" t="s">
        <v>362</v>
      </c>
      <c r="D201" s="59" t="str">
        <f t="shared" si="10"/>
        <v>SCD266FC</v>
      </c>
      <c r="E201" s="60"/>
      <c r="F201" s="54" t="s">
        <v>322</v>
      </c>
      <c r="G201" s="56" t="s">
        <v>363</v>
      </c>
      <c r="H201" s="44">
        <v>1000</v>
      </c>
      <c r="I201" s="46">
        <v>326.60000000000002</v>
      </c>
      <c r="J201" s="47" t="s">
        <v>239</v>
      </c>
      <c r="K201" s="48">
        <v>0</v>
      </c>
      <c r="L201" s="49">
        <f t="shared" si="7"/>
        <v>326.60000000000002</v>
      </c>
      <c r="M201" s="50">
        <v>0.1082</v>
      </c>
      <c r="N201" s="51">
        <f t="shared" si="8"/>
        <v>291.26188000000002</v>
      </c>
      <c r="O201" s="52">
        <f t="shared" si="9"/>
        <v>293.46285138539042</v>
      </c>
      <c r="P201" s="45" t="s">
        <v>240</v>
      </c>
      <c r="Q201" s="12" t="s">
        <v>232</v>
      </c>
      <c r="R201" s="60"/>
      <c r="S201" s="60"/>
    </row>
    <row r="202" spans="1:19" s="53" customFormat="1" ht="15" customHeight="1" x14ac:dyDescent="0.2">
      <c r="A202" s="42" t="s">
        <v>34</v>
      </c>
      <c r="B202" s="43" t="s">
        <v>235</v>
      </c>
      <c r="C202" s="44" t="s">
        <v>364</v>
      </c>
      <c r="D202" s="59" t="str">
        <f t="shared" si="10"/>
        <v>SCD281P</v>
      </c>
      <c r="E202" s="58"/>
      <c r="F202" s="54" t="s">
        <v>322</v>
      </c>
      <c r="G202" s="56" t="s">
        <v>365</v>
      </c>
      <c r="H202" s="44">
        <v>1000</v>
      </c>
      <c r="I202" s="46">
        <v>543.6</v>
      </c>
      <c r="J202" s="47" t="s">
        <v>239</v>
      </c>
      <c r="K202" s="48">
        <v>0</v>
      </c>
      <c r="L202" s="49">
        <f t="shared" si="7"/>
        <v>543.6</v>
      </c>
      <c r="M202" s="50">
        <v>0.1082</v>
      </c>
      <c r="N202" s="51">
        <f t="shared" si="8"/>
        <v>484.78248000000002</v>
      </c>
      <c r="O202" s="52">
        <f t="shared" si="9"/>
        <v>488.44582367758187</v>
      </c>
      <c r="P202" s="45" t="s">
        <v>240</v>
      </c>
      <c r="Q202" s="12" t="s">
        <v>232</v>
      </c>
      <c r="R202" s="58"/>
      <c r="S202" s="58"/>
    </row>
    <row r="203" spans="1:19" s="53" customFormat="1" ht="12.75" customHeight="1" x14ac:dyDescent="0.2">
      <c r="A203" s="42" t="s">
        <v>34</v>
      </c>
      <c r="B203" s="43" t="s">
        <v>235</v>
      </c>
      <c r="C203" s="44" t="s">
        <v>366</v>
      </c>
      <c r="D203" s="59" t="str">
        <f t="shared" si="10"/>
        <v>SCD281PP</v>
      </c>
      <c r="E203" s="61"/>
      <c r="F203" s="54" t="s">
        <v>322</v>
      </c>
      <c r="G203" s="56" t="s">
        <v>367</v>
      </c>
      <c r="H203" s="44">
        <v>1000</v>
      </c>
      <c r="I203" s="46">
        <v>548.70000000000005</v>
      </c>
      <c r="J203" s="47" t="s">
        <v>239</v>
      </c>
      <c r="K203" s="48">
        <v>0</v>
      </c>
      <c r="L203" s="49">
        <f t="shared" si="7"/>
        <v>548.70000000000005</v>
      </c>
      <c r="M203" s="50">
        <v>0.1082</v>
      </c>
      <c r="N203" s="51">
        <f t="shared" si="8"/>
        <v>489.33066000000002</v>
      </c>
      <c r="O203" s="52">
        <f t="shared" si="9"/>
        <v>493.02837279596974</v>
      </c>
      <c r="P203" s="45" t="s">
        <v>240</v>
      </c>
      <c r="Q203" s="12" t="s">
        <v>232</v>
      </c>
      <c r="R203" s="61"/>
      <c r="S203" s="61"/>
    </row>
    <row r="204" spans="1:19" s="53" customFormat="1" ht="15" customHeight="1" x14ac:dyDescent="0.2">
      <c r="A204" s="42" t="s">
        <v>34</v>
      </c>
      <c r="B204" s="43" t="s">
        <v>235</v>
      </c>
      <c r="C204" s="44" t="s">
        <v>368</v>
      </c>
      <c r="D204" s="59" t="str">
        <f t="shared" si="10"/>
        <v>SCD281FC</v>
      </c>
      <c r="F204" s="54" t="s">
        <v>322</v>
      </c>
      <c r="G204" s="56" t="s">
        <v>369</v>
      </c>
      <c r="H204" s="44">
        <v>1000</v>
      </c>
      <c r="I204" s="46">
        <v>746.1</v>
      </c>
      <c r="J204" s="47" t="s">
        <v>239</v>
      </c>
      <c r="K204" s="48">
        <v>0</v>
      </c>
      <c r="L204" s="49">
        <f t="shared" si="7"/>
        <v>746.1</v>
      </c>
      <c r="M204" s="50">
        <v>0.1082</v>
      </c>
      <c r="N204" s="51">
        <f t="shared" si="8"/>
        <v>665.37198000000001</v>
      </c>
      <c r="O204" s="52">
        <f t="shared" si="9"/>
        <v>670.39997984886645</v>
      </c>
      <c r="P204" s="45" t="s">
        <v>240</v>
      </c>
      <c r="Q204" s="12" t="s">
        <v>232</v>
      </c>
    </row>
    <row r="205" spans="1:19" s="53" customFormat="1" ht="15" customHeight="1" x14ac:dyDescent="0.2">
      <c r="A205" s="42" t="s">
        <v>34</v>
      </c>
      <c r="B205" s="43" t="s">
        <v>235</v>
      </c>
      <c r="C205" s="44" t="s">
        <v>370</v>
      </c>
      <c r="D205" s="59" t="str">
        <f t="shared" si="10"/>
        <v>SRU145P</v>
      </c>
      <c r="F205" s="44" t="s">
        <v>371</v>
      </c>
      <c r="G205" s="56" t="s">
        <v>372</v>
      </c>
      <c r="H205" s="44">
        <v>1000</v>
      </c>
      <c r="I205" s="46">
        <v>180</v>
      </c>
      <c r="J205" s="47" t="s">
        <v>239</v>
      </c>
      <c r="K205" s="48">
        <v>0</v>
      </c>
      <c r="L205" s="49">
        <f t="shared" si="7"/>
        <v>180</v>
      </c>
      <c r="M205" s="50">
        <v>0.1082</v>
      </c>
      <c r="N205" s="51">
        <f t="shared" si="8"/>
        <v>160.524</v>
      </c>
      <c r="O205" s="52">
        <f t="shared" si="9"/>
        <v>161.73702770780855</v>
      </c>
      <c r="P205" s="45" t="s">
        <v>240</v>
      </c>
      <c r="Q205" s="12" t="s">
        <v>232</v>
      </c>
    </row>
    <row r="206" spans="1:19" s="53" customFormat="1" ht="15" customHeight="1" x14ac:dyDescent="0.2">
      <c r="A206" s="42" t="s">
        <v>34</v>
      </c>
      <c r="B206" s="43" t="s">
        <v>235</v>
      </c>
      <c r="C206" s="44" t="s">
        <v>373</v>
      </c>
      <c r="D206" s="59" t="str">
        <f t="shared" si="10"/>
        <v>SRU145PP</v>
      </c>
      <c r="F206" s="44" t="s">
        <v>371</v>
      </c>
      <c r="G206" s="56" t="s">
        <v>374</v>
      </c>
      <c r="H206" s="44">
        <v>1000</v>
      </c>
      <c r="I206" s="46">
        <v>200</v>
      </c>
      <c r="J206" s="47" t="s">
        <v>239</v>
      </c>
      <c r="K206" s="48">
        <v>0</v>
      </c>
      <c r="L206" s="49">
        <f t="shared" si="7"/>
        <v>200</v>
      </c>
      <c r="M206" s="50">
        <v>0.1082</v>
      </c>
      <c r="N206" s="51">
        <f t="shared" si="8"/>
        <v>178.36</v>
      </c>
      <c r="O206" s="52">
        <f t="shared" si="9"/>
        <v>179.70780856423175</v>
      </c>
      <c r="P206" s="45" t="s">
        <v>240</v>
      </c>
      <c r="Q206" s="12" t="s">
        <v>232</v>
      </c>
    </row>
    <row r="207" spans="1:19" s="53" customFormat="1" ht="15" customHeight="1" x14ac:dyDescent="0.2">
      <c r="A207" s="42" t="s">
        <v>34</v>
      </c>
      <c r="B207" s="43" t="s">
        <v>235</v>
      </c>
      <c r="C207" s="44" t="s">
        <v>375</v>
      </c>
      <c r="D207" s="59" t="str">
        <f t="shared" si="10"/>
        <v>SRU145FC</v>
      </c>
      <c r="F207" s="44" t="s">
        <v>371</v>
      </c>
      <c r="G207" s="56" t="s">
        <v>376</v>
      </c>
      <c r="H207" s="44">
        <v>1000</v>
      </c>
      <c r="I207" s="46">
        <v>220</v>
      </c>
      <c r="J207" s="47" t="s">
        <v>239</v>
      </c>
      <c r="K207" s="48">
        <v>0</v>
      </c>
      <c r="L207" s="49">
        <f t="shared" si="7"/>
        <v>220</v>
      </c>
      <c r="M207" s="50">
        <v>0.1082</v>
      </c>
      <c r="N207" s="51">
        <f t="shared" si="8"/>
        <v>196.196</v>
      </c>
      <c r="O207" s="52">
        <f t="shared" si="9"/>
        <v>197.6785894206549</v>
      </c>
      <c r="P207" s="45" t="s">
        <v>240</v>
      </c>
      <c r="Q207" s="12" t="s">
        <v>232</v>
      </c>
    </row>
    <row r="208" spans="1:19" s="53" customFormat="1" ht="15" customHeight="1" x14ac:dyDescent="0.2">
      <c r="A208" s="42" t="s">
        <v>34</v>
      </c>
      <c r="B208" s="43" t="s">
        <v>235</v>
      </c>
      <c r="C208" s="44" t="s">
        <v>377</v>
      </c>
      <c r="D208" s="59" t="str">
        <f t="shared" si="10"/>
        <v>SRU155P</v>
      </c>
      <c r="F208" s="44" t="s">
        <v>371</v>
      </c>
      <c r="G208" s="56" t="s">
        <v>378</v>
      </c>
      <c r="H208" s="44">
        <v>1000</v>
      </c>
      <c r="I208" s="46">
        <v>225</v>
      </c>
      <c r="J208" s="47" t="s">
        <v>239</v>
      </c>
      <c r="K208" s="48">
        <v>0</v>
      </c>
      <c r="L208" s="49">
        <f t="shared" si="7"/>
        <v>225</v>
      </c>
      <c r="M208" s="50">
        <v>0.1082</v>
      </c>
      <c r="N208" s="51">
        <f t="shared" si="8"/>
        <v>200.655</v>
      </c>
      <c r="O208" s="52">
        <f t="shared" si="9"/>
        <v>202.1712846347607</v>
      </c>
      <c r="P208" s="45" t="s">
        <v>240</v>
      </c>
      <c r="Q208" s="12" t="s">
        <v>232</v>
      </c>
    </row>
    <row r="209" spans="1:19" s="53" customFormat="1" ht="15" customHeight="1" x14ac:dyDescent="0.2">
      <c r="A209" s="42" t="s">
        <v>34</v>
      </c>
      <c r="B209" s="43" t="s">
        <v>235</v>
      </c>
      <c r="C209" s="44" t="s">
        <v>379</v>
      </c>
      <c r="D209" s="59" t="str">
        <f t="shared" si="10"/>
        <v>SRU155PP</v>
      </c>
      <c r="F209" s="44" t="s">
        <v>371</v>
      </c>
      <c r="G209" s="56" t="s">
        <v>380</v>
      </c>
      <c r="H209" s="44">
        <v>1000</v>
      </c>
      <c r="I209" s="46">
        <v>245</v>
      </c>
      <c r="J209" s="47" t="s">
        <v>239</v>
      </c>
      <c r="K209" s="48">
        <v>0</v>
      </c>
      <c r="L209" s="49">
        <f t="shared" si="7"/>
        <v>245</v>
      </c>
      <c r="M209" s="50">
        <v>0.1082</v>
      </c>
      <c r="N209" s="51">
        <f t="shared" si="8"/>
        <v>218.49099999999999</v>
      </c>
      <c r="O209" s="52">
        <f t="shared" si="9"/>
        <v>220.14206549118384</v>
      </c>
      <c r="P209" s="45" t="s">
        <v>240</v>
      </c>
      <c r="Q209" s="12" t="s">
        <v>232</v>
      </c>
    </row>
    <row r="210" spans="1:19" s="53" customFormat="1" ht="15" customHeight="1" x14ac:dyDescent="0.2">
      <c r="A210" s="42" t="s">
        <v>34</v>
      </c>
      <c r="B210" s="43" t="s">
        <v>235</v>
      </c>
      <c r="C210" s="44" t="s">
        <v>381</v>
      </c>
      <c r="D210" s="59" t="str">
        <f t="shared" si="10"/>
        <v>SRU155FC</v>
      </c>
      <c r="F210" s="44" t="s">
        <v>371</v>
      </c>
      <c r="G210" s="56" t="s">
        <v>382</v>
      </c>
      <c r="H210" s="44">
        <v>1000</v>
      </c>
      <c r="I210" s="46">
        <v>265</v>
      </c>
      <c r="J210" s="47" t="s">
        <v>239</v>
      </c>
      <c r="K210" s="48">
        <v>0</v>
      </c>
      <c r="L210" s="49">
        <f t="shared" si="7"/>
        <v>265</v>
      </c>
      <c r="M210" s="50">
        <v>0.1082</v>
      </c>
      <c r="N210" s="51">
        <f t="shared" si="8"/>
        <v>236.327</v>
      </c>
      <c r="O210" s="52">
        <f t="shared" si="9"/>
        <v>238.11284634760705</v>
      </c>
      <c r="P210" s="45" t="s">
        <v>240</v>
      </c>
      <c r="Q210" s="12" t="s">
        <v>232</v>
      </c>
    </row>
    <row r="211" spans="1:19" s="53" customFormat="1" ht="15" customHeight="1" x14ac:dyDescent="0.2">
      <c r="A211" s="42" t="s">
        <v>34</v>
      </c>
      <c r="B211" s="43" t="s">
        <v>235</v>
      </c>
      <c r="C211" s="44" t="s">
        <v>383</v>
      </c>
      <c r="D211" s="59" t="str">
        <f t="shared" si="10"/>
        <v>SRU245P</v>
      </c>
      <c r="F211" s="44" t="s">
        <v>371</v>
      </c>
      <c r="G211" s="56" t="s">
        <v>384</v>
      </c>
      <c r="H211" s="44">
        <v>1000</v>
      </c>
      <c r="I211" s="46">
        <v>200</v>
      </c>
      <c r="J211" s="47" t="s">
        <v>239</v>
      </c>
      <c r="K211" s="48">
        <v>0</v>
      </c>
      <c r="L211" s="49">
        <f t="shared" si="7"/>
        <v>200</v>
      </c>
      <c r="M211" s="50">
        <v>0.1082</v>
      </c>
      <c r="N211" s="51">
        <f t="shared" si="8"/>
        <v>178.36</v>
      </c>
      <c r="O211" s="52">
        <f t="shared" si="9"/>
        <v>179.70780856423175</v>
      </c>
      <c r="P211" s="45" t="s">
        <v>240</v>
      </c>
      <c r="Q211" s="12" t="s">
        <v>232</v>
      </c>
    </row>
    <row r="212" spans="1:19" s="53" customFormat="1" ht="15" customHeight="1" x14ac:dyDescent="0.2">
      <c r="A212" s="42" t="s">
        <v>34</v>
      </c>
      <c r="B212" s="43" t="s">
        <v>235</v>
      </c>
      <c r="C212" s="44" t="s">
        <v>385</v>
      </c>
      <c r="D212" s="59" t="str">
        <f t="shared" si="10"/>
        <v>SRU245PP</v>
      </c>
      <c r="F212" s="44" t="s">
        <v>371</v>
      </c>
      <c r="G212" s="56" t="s">
        <v>386</v>
      </c>
      <c r="H212" s="44">
        <v>1000</v>
      </c>
      <c r="I212" s="46">
        <v>220</v>
      </c>
      <c r="J212" s="47" t="s">
        <v>239</v>
      </c>
      <c r="K212" s="48">
        <v>0</v>
      </c>
      <c r="L212" s="49">
        <f t="shared" si="7"/>
        <v>220</v>
      </c>
      <c r="M212" s="50">
        <v>0.1082</v>
      </c>
      <c r="N212" s="51">
        <f t="shared" si="8"/>
        <v>196.196</v>
      </c>
      <c r="O212" s="52">
        <f t="shared" si="9"/>
        <v>197.6785894206549</v>
      </c>
      <c r="P212" s="45" t="s">
        <v>240</v>
      </c>
      <c r="Q212" s="12" t="s">
        <v>232</v>
      </c>
    </row>
    <row r="213" spans="1:19" s="53" customFormat="1" ht="15" customHeight="1" x14ac:dyDescent="0.2">
      <c r="A213" s="42" t="s">
        <v>34</v>
      </c>
      <c r="B213" s="43" t="s">
        <v>235</v>
      </c>
      <c r="C213" s="44" t="s">
        <v>387</v>
      </c>
      <c r="D213" s="59" t="str">
        <f t="shared" si="10"/>
        <v>SRU245FC</v>
      </c>
      <c r="F213" s="44" t="s">
        <v>371</v>
      </c>
      <c r="G213" s="56" t="s">
        <v>388</v>
      </c>
      <c r="H213" s="44">
        <v>1000</v>
      </c>
      <c r="I213" s="46">
        <v>240</v>
      </c>
      <c r="J213" s="47" t="s">
        <v>239</v>
      </c>
      <c r="K213" s="48">
        <v>0</v>
      </c>
      <c r="L213" s="49">
        <f t="shared" si="7"/>
        <v>240</v>
      </c>
      <c r="M213" s="50">
        <v>0.1082</v>
      </c>
      <c r="N213" s="51">
        <f t="shared" si="8"/>
        <v>214.03200000000001</v>
      </c>
      <c r="O213" s="52">
        <f t="shared" si="9"/>
        <v>215.64937027707808</v>
      </c>
      <c r="P213" s="45" t="s">
        <v>240</v>
      </c>
      <c r="Q213" s="12" t="s">
        <v>232</v>
      </c>
    </row>
    <row r="214" spans="1:19" s="53" customFormat="1" ht="15" customHeight="1" x14ac:dyDescent="0.2">
      <c r="A214" s="42" t="s">
        <v>34</v>
      </c>
      <c r="B214" s="43" t="s">
        <v>235</v>
      </c>
      <c r="C214" s="44" t="s">
        <v>389</v>
      </c>
      <c r="D214" s="59" t="str">
        <f t="shared" si="10"/>
        <v>SRU255P</v>
      </c>
      <c r="F214" s="44" t="s">
        <v>371</v>
      </c>
      <c r="G214" s="56" t="s">
        <v>390</v>
      </c>
      <c r="H214" s="44">
        <v>1000</v>
      </c>
      <c r="I214" s="46">
        <v>245</v>
      </c>
      <c r="J214" s="47" t="s">
        <v>239</v>
      </c>
      <c r="K214" s="48">
        <v>0</v>
      </c>
      <c r="L214" s="49">
        <f t="shared" si="7"/>
        <v>245</v>
      </c>
      <c r="M214" s="50">
        <v>0.1082</v>
      </c>
      <c r="N214" s="51">
        <f t="shared" si="8"/>
        <v>218.49099999999999</v>
      </c>
      <c r="O214" s="52">
        <f t="shared" si="9"/>
        <v>220.14206549118384</v>
      </c>
      <c r="P214" s="45" t="s">
        <v>240</v>
      </c>
      <c r="Q214" s="12" t="s">
        <v>232</v>
      </c>
    </row>
    <row r="215" spans="1:19" s="53" customFormat="1" ht="15" customHeight="1" x14ac:dyDescent="0.2">
      <c r="A215" s="42" t="s">
        <v>34</v>
      </c>
      <c r="B215" s="43" t="s">
        <v>235</v>
      </c>
      <c r="C215" s="44" t="s">
        <v>391</v>
      </c>
      <c r="D215" s="59" t="str">
        <f t="shared" si="10"/>
        <v>SRU255PP</v>
      </c>
      <c r="F215" s="44" t="s">
        <v>371</v>
      </c>
      <c r="G215" s="56" t="s">
        <v>392</v>
      </c>
      <c r="H215" s="44">
        <v>1000</v>
      </c>
      <c r="I215" s="46">
        <v>265</v>
      </c>
      <c r="J215" s="47" t="s">
        <v>239</v>
      </c>
      <c r="K215" s="48">
        <v>0</v>
      </c>
      <c r="L215" s="49">
        <f t="shared" si="7"/>
        <v>265</v>
      </c>
      <c r="M215" s="50">
        <v>0.1082</v>
      </c>
      <c r="N215" s="51">
        <f t="shared" si="8"/>
        <v>236.327</v>
      </c>
      <c r="O215" s="52">
        <f t="shared" si="9"/>
        <v>238.11284634760705</v>
      </c>
      <c r="P215" s="45" t="s">
        <v>240</v>
      </c>
      <c r="Q215" s="12" t="s">
        <v>232</v>
      </c>
    </row>
    <row r="216" spans="1:19" s="53" customFormat="1" ht="15" customHeight="1" x14ac:dyDescent="0.2">
      <c r="A216" s="42" t="s">
        <v>34</v>
      </c>
      <c r="B216" s="43" t="s">
        <v>235</v>
      </c>
      <c r="C216" s="44" t="s">
        <v>375</v>
      </c>
      <c r="D216" s="59" t="str">
        <f t="shared" si="10"/>
        <v>SRU145FC</v>
      </c>
      <c r="F216" s="44" t="s">
        <v>371</v>
      </c>
      <c r="G216" s="62" t="s">
        <v>393</v>
      </c>
      <c r="H216" s="44">
        <v>1000</v>
      </c>
      <c r="I216" s="46">
        <v>285</v>
      </c>
      <c r="J216" s="47" t="s">
        <v>239</v>
      </c>
      <c r="K216" s="48">
        <v>0</v>
      </c>
      <c r="L216" s="49">
        <f t="shared" si="7"/>
        <v>285</v>
      </c>
      <c r="M216" s="50">
        <v>0.1082</v>
      </c>
      <c r="N216" s="51">
        <f t="shared" si="8"/>
        <v>254.16300000000001</v>
      </c>
      <c r="O216" s="52">
        <f t="shared" si="9"/>
        <v>256.08362720403022</v>
      </c>
      <c r="P216" s="45" t="s">
        <v>240</v>
      </c>
      <c r="Q216" s="12" t="s">
        <v>232</v>
      </c>
    </row>
    <row r="217" spans="1:19" ht="15" customHeight="1" x14ac:dyDescent="0.2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31"/>
      <c r="N217" s="22"/>
      <c r="O217" s="22"/>
      <c r="P217" s="22"/>
      <c r="Q217" s="22"/>
      <c r="R217" s="22"/>
      <c r="S217" s="22"/>
    </row>
    <row r="219" spans="1:19" ht="15.75" x14ac:dyDescent="0.25">
      <c r="A219" s="3" t="s">
        <v>233</v>
      </c>
    </row>
    <row r="220" spans="1:19" ht="15.75" x14ac:dyDescent="0.25">
      <c r="A220" s="3" t="s">
        <v>234</v>
      </c>
    </row>
    <row r="223" spans="1:19" ht="15" customHeight="1" x14ac:dyDescent="0.2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31"/>
      <c r="N223" s="22"/>
      <c r="O223" s="22"/>
      <c r="P223" s="22"/>
      <c r="Q223" s="22"/>
      <c r="R223" s="22"/>
    </row>
    <row r="225" spans="1:19" ht="15.75" x14ac:dyDescent="0.25">
      <c r="A225" s="2" t="s">
        <v>18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35"/>
      <c r="N225" s="9"/>
      <c r="O225" s="9"/>
      <c r="P225" s="9"/>
      <c r="Q225" s="9"/>
      <c r="R225" s="9"/>
      <c r="S225" s="9"/>
    </row>
    <row r="226" spans="1:19" x14ac:dyDescent="0.2">
      <c r="A226" s="21" t="s">
        <v>10</v>
      </c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31"/>
      <c r="N226" s="22"/>
      <c r="O226" s="22"/>
      <c r="P226" s="22"/>
      <c r="Q226" s="22"/>
      <c r="R226" s="22"/>
      <c r="S226" s="22"/>
    </row>
    <row r="227" spans="1:19" x14ac:dyDescent="0.2">
      <c r="A227" s="23" t="s">
        <v>7</v>
      </c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38"/>
      <c r="N227" s="27"/>
      <c r="O227" s="27"/>
      <c r="P227" s="27"/>
      <c r="Q227" s="27"/>
      <c r="R227" s="27"/>
      <c r="S227" s="27"/>
    </row>
    <row r="228" spans="1:19" x14ac:dyDescent="0.2">
      <c r="A228" s="23" t="s">
        <v>1</v>
      </c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38"/>
      <c r="N228" s="27"/>
      <c r="O228" s="27"/>
      <c r="P228" s="27"/>
      <c r="Q228" s="27"/>
      <c r="R228" s="27"/>
      <c r="S228" s="27"/>
    </row>
    <row r="229" spans="1:19" x14ac:dyDescent="0.2">
      <c r="A229" s="23" t="s">
        <v>13</v>
      </c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38"/>
      <c r="N229" s="27"/>
      <c r="O229" s="27"/>
      <c r="P229" s="27"/>
      <c r="Q229" s="27"/>
      <c r="R229" s="27"/>
      <c r="S229" s="27"/>
    </row>
    <row r="230" spans="1:19" x14ac:dyDescent="0.2">
      <c r="A230" s="23" t="s">
        <v>24</v>
      </c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38"/>
      <c r="N230" s="27"/>
      <c r="O230" s="27"/>
      <c r="P230" s="27"/>
      <c r="Q230" s="27"/>
      <c r="R230" s="27"/>
      <c r="S230" s="27"/>
    </row>
    <row r="231" spans="1:19" ht="15" customHeight="1" x14ac:dyDescent="0.2">
      <c r="A231" s="23"/>
      <c r="B231" s="26" t="s">
        <v>21</v>
      </c>
      <c r="C231" s="27"/>
      <c r="D231" s="28" t="s">
        <v>25</v>
      </c>
      <c r="E231" s="28"/>
      <c r="F231" s="28"/>
      <c r="G231" s="28"/>
      <c r="H231" s="28"/>
      <c r="I231" s="28"/>
      <c r="J231" s="28"/>
      <c r="K231" s="28"/>
      <c r="L231" s="28"/>
      <c r="M231" s="36"/>
      <c r="N231" s="28"/>
      <c r="O231" s="28"/>
      <c r="P231" s="28"/>
      <c r="Q231" s="28"/>
      <c r="R231" s="28"/>
      <c r="S231" s="28"/>
    </row>
    <row r="232" spans="1:19" x14ac:dyDescent="0.2">
      <c r="A232" s="23"/>
      <c r="B232" s="26"/>
      <c r="C232" s="27"/>
      <c r="D232" s="28" t="s">
        <v>22</v>
      </c>
      <c r="E232" s="28"/>
      <c r="F232" s="28"/>
      <c r="G232" s="28"/>
      <c r="H232" s="28"/>
      <c r="I232" s="28"/>
      <c r="J232" s="28"/>
      <c r="K232" s="28"/>
      <c r="L232" s="28"/>
      <c r="M232" s="36"/>
      <c r="N232" s="28"/>
      <c r="O232" s="28"/>
      <c r="P232" s="28"/>
      <c r="Q232" s="28"/>
      <c r="R232" s="28"/>
      <c r="S232" s="28"/>
    </row>
    <row r="233" spans="1:19" x14ac:dyDescent="0.2">
      <c r="A233" s="23"/>
      <c r="B233" s="26"/>
      <c r="C233" s="27"/>
      <c r="D233" s="28" t="s">
        <v>23</v>
      </c>
      <c r="E233" s="28"/>
      <c r="F233" s="28"/>
      <c r="G233" s="28"/>
      <c r="H233" s="28"/>
      <c r="I233" s="28"/>
      <c r="J233" s="28"/>
      <c r="K233" s="28"/>
      <c r="L233" s="28"/>
      <c r="M233" s="36"/>
      <c r="N233" s="28"/>
      <c r="O233" s="28"/>
      <c r="P233" s="28"/>
      <c r="Q233" s="28"/>
      <c r="R233" s="28"/>
      <c r="S233" s="28"/>
    </row>
    <row r="234" spans="1:19" s="27" customFormat="1" ht="15.75" customHeight="1" x14ac:dyDescent="0.2">
      <c r="A234" s="4"/>
      <c r="D234" s="29" t="s">
        <v>26</v>
      </c>
      <c r="E234" s="29"/>
      <c r="F234" s="29"/>
      <c r="G234" s="29"/>
      <c r="H234" s="29"/>
      <c r="I234" s="29"/>
      <c r="J234" s="29"/>
      <c r="K234" s="29"/>
      <c r="L234" s="29"/>
      <c r="M234" s="39"/>
      <c r="N234" s="29"/>
      <c r="O234" s="29"/>
      <c r="P234" s="29"/>
      <c r="Q234" s="29"/>
      <c r="R234" s="29"/>
      <c r="S234" s="29"/>
    </row>
    <row r="235" spans="1:19" ht="15" customHeight="1" x14ac:dyDescent="0.2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31"/>
      <c r="N235" s="22"/>
      <c r="O235" s="22"/>
      <c r="P235" s="22"/>
      <c r="Q235" s="22"/>
      <c r="R235" s="22"/>
      <c r="S235" s="22"/>
    </row>
    <row r="236" spans="1:19" ht="15" customHeight="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35"/>
      <c r="N236" s="9"/>
      <c r="O236" s="9"/>
      <c r="P236" s="9"/>
      <c r="Q236" s="9"/>
      <c r="R236" s="9"/>
      <c r="S236" s="9"/>
    </row>
    <row r="237" spans="1:19" ht="12.75" customHeight="1" x14ac:dyDescent="0.2">
      <c r="A237" s="25" t="s">
        <v>3</v>
      </c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37"/>
      <c r="N237" s="20"/>
      <c r="O237" s="20"/>
      <c r="P237" s="20"/>
      <c r="Q237" s="20"/>
      <c r="R237" s="20"/>
      <c r="S237" s="20"/>
    </row>
  </sheetData>
  <printOptions horizontalCentered="1" verticalCentered="1"/>
  <pageMargins left="0" right="0" top="0" bottom="0" header="0.5" footer="0.5"/>
  <pageSetup paperSize="9" scale="60" orientation="landscape" horizontalDpi="4294967295" verticalDpi="4294967295" r:id="rId1"/>
  <headerFooter alignWithMargins="0">
    <oddHeader xml:space="preserve">&amp;L
&amp;R
</oddHead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9.140625" defaultRowHeight="15" customHeight="1" x14ac:dyDescent="0.2"/>
  <cols>
    <col min="1" max="6" width="9.140625" customWidth="1"/>
  </cols>
  <sheetData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9.140625" defaultRowHeight="15" customHeight="1" x14ac:dyDescent="0.2"/>
  <cols>
    <col min="1" max="6" width="9.140625" customWidth="1"/>
  </cols>
  <sheetData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AC31D4857BC643B2EEAE3F4135A9F4" ma:contentTypeVersion="0" ma:contentTypeDescription="Create a new document." ma:contentTypeScope="" ma:versionID="036590b3a66794250c33b1bdefb0396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7b4a4f76bea50102067bc7ec8c6d4d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170393-A37B-4F20-A123-E2AD18178702}">
  <ds:schemaRefs>
    <ds:schemaRef ds:uri="http://schemas.microsoft.com/office/infopath/2007/PartnerControls"/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2DDB26D-949C-4B1A-9631-D64B95CC15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3E1F86-3CEF-4C86-8D70-0F3C1D413B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BrendaMMcCall</dc:creator>
  <cp:lastModifiedBy>Brian Purgert</cp:lastModifiedBy>
  <cp:lastPrinted>2016-07-21T20:54:46Z</cp:lastPrinted>
  <dcterms:created xsi:type="dcterms:W3CDTF">2011-12-06T15:30:49Z</dcterms:created>
  <dcterms:modified xsi:type="dcterms:W3CDTF">2017-03-30T20:50:21Z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0x010100E2AC31D4857BC643B2EEAE3F4135A9F4</vt:lpwstr>
  </property>
</Properties>
</file>
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A:\Silver Team Files\Renewals\Enterprise Roofing\EPA\"/>
    </mc:Choice>
  </mc:AlternateContent>
  <bookViews>
    <workbookView xWindow="90" yWindow="150" windowWidth="20070" windowHeight="8760" tabRatio="540"/>
  </bookViews>
  <sheets>
    <sheet name="EPA" sheetId="1" r:id="rId1"/>
  </sheets>
  <calcPr calcId="171027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2" i="1"/>
  <c r="S49" i="1" l="1"/>
  <c r="S50" i="1"/>
  <c r="S51" i="1"/>
  <c r="S52" i="1"/>
  <c r="S53" i="1"/>
  <c r="S54" i="1"/>
  <c r="S55" i="1"/>
  <c r="S56" i="1"/>
  <c r="S57" i="1"/>
  <c r="S58" i="1"/>
  <c r="S59" i="1"/>
  <c r="S61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O2" i="1"/>
  <c r="N2" i="1"/>
</calcChain>
</file>

<file path=xl/comments1.xml><?xml version="1.0" encoding="utf-8"?>
<comments xmlns="http://schemas.openxmlformats.org/spreadsheetml/2006/main">
  <authors>
    <author>AnisaRKhandkar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>Special Item Number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Unit of Issue</t>
        </r>
      </text>
    </comment>
  </commentList>
</comments>
</file>

<file path=xl/sharedStrings.xml><?xml version="1.0" encoding="utf-8"?>
<sst xmlns="http://schemas.openxmlformats.org/spreadsheetml/2006/main" count="1011" uniqueCount="335">
  <si>
    <t>SIN</t>
  </si>
  <si>
    <t>MANUFACTURER NAME</t>
  </si>
  <si>
    <t>PRODUCT DESCRIPTION</t>
  </si>
  <si>
    <t>UOI</t>
  </si>
  <si>
    <t>CURRENT COMMERCIAL LIST PRICE</t>
  </si>
  <si>
    <t>NEW COMMERCIAL LIST PRICE</t>
  </si>
  <si>
    <t>CURRENT MFC PRICE</t>
  </si>
  <si>
    <t>NEW MFC PRICE</t>
  </si>
  <si>
    <t>% DIFF BTWN CURRENT GSA PRICE W/O IFF AND NEW GSA PRICE W/O IFF</t>
  </si>
  <si>
    <t>% DIFFERENCE</t>
  </si>
  <si>
    <t>CONTRACT NUMBER</t>
  </si>
  <si>
    <t>VENDOR NAME</t>
  </si>
  <si>
    <t>DEALER PART NUMBER (IF APPLICABLE)</t>
  </si>
  <si>
    <t>PROPOSED GSA PRICE (EXCLUSIVE OF THE .75% IFF)</t>
  </si>
  <si>
    <t>PROPOSED GSA PRICE (INCLUSIVE OF THE .75% IFF)</t>
  </si>
  <si>
    <t>CURRENT GSA PRICE (EXCLUSIVE OF THE .75% IFF)</t>
  </si>
  <si>
    <t>CURRENT GSA PRICE (INCLUSIVE OF THE .75% IFF)</t>
  </si>
  <si>
    <t>MODIFICATION TYPE</t>
  </si>
  <si>
    <t>MODIFICATION NUMBER</t>
  </si>
  <si>
    <t>PRODUCT NAME</t>
  </si>
  <si>
    <t>MFR PART NUMBER</t>
  </si>
  <si>
    <t>EPA</t>
  </si>
  <si>
    <t>563 4</t>
  </si>
  <si>
    <t xml:space="preserve">Carlisle </t>
  </si>
  <si>
    <t xml:space="preserve">Johns Manville </t>
  </si>
  <si>
    <t>Requarth</t>
  </si>
  <si>
    <t>Certainteed</t>
  </si>
  <si>
    <t>Evergreen</t>
  </si>
  <si>
    <t>G.A Avril</t>
  </si>
  <si>
    <t xml:space="preserve"> DMI</t>
  </si>
  <si>
    <t>Bilco</t>
  </si>
  <si>
    <t>DMI</t>
  </si>
  <si>
    <t>.050 PVC Field Sheet 10'x 100' /EA</t>
  </si>
  <si>
    <t>24" .050 PVC Unreinforced Flashing (50') /EA</t>
  </si>
  <si>
    <t>Low Slope Roof Patch  /EA</t>
  </si>
  <si>
    <t>12" EPDM Uncured Flashing (100' roll) /EA</t>
  </si>
  <si>
    <t>24" .060 TPO Unreinforced Flashing (50') /EA</t>
  </si>
  <si>
    <t>.060 EPDM Field Sheet (10'x 50') /EA</t>
  </si>
  <si>
    <t>PVC Solvent-Based Bonding Adhesive (5-gal) /EA</t>
  </si>
  <si>
    <t>Modified Bitumen SBS Granular Cap Sheet (1 sq) /RL</t>
  </si>
  <si>
    <t>1-1/4"Pneumatic Roofing Nails (2000) /BX</t>
  </si>
  <si>
    <t>Modified Bitumen Flashing APP Granular (3/4 sq) /RL</t>
  </si>
  <si>
    <t>Modified Bitumen SBS Smooth Base Sheet (1 sq) /RL</t>
  </si>
  <si>
    <t>Cedar shakes (Hand Sawn) /EA</t>
  </si>
  <si>
    <t>Asphalt Shingles 3-Tab (#210) /SQ</t>
  </si>
  <si>
    <t>4" Insulation Fasteners /EA</t>
  </si>
  <si>
    <t>Tri-Laminate Asphalt Shingles  (#300)/SQ</t>
  </si>
  <si>
    <t>Slate-Large 16"x 30" /EA</t>
  </si>
  <si>
    <t>Asphalt Dimensional Shingles (# 230) /SQ</t>
  </si>
  <si>
    <t>Organic Felt Base Sheet (2sq roll) /RL</t>
  </si>
  <si>
    <t>Slate-Medium 12"x24" /EA</t>
  </si>
  <si>
    <t>Cedar Shingles - 12" x 24" /EA</t>
  </si>
  <si>
    <t>4" Copper Vent Stack - 8" High /EA</t>
  </si>
  <si>
    <t>Ceramic Granules -  5 gallon pail /EA</t>
  </si>
  <si>
    <t>Modified Bitumen APP-Granular Cap (1 sq) /RL</t>
  </si>
  <si>
    <t>Modified Bitumen APP-Smooth FR (1 sq) /RL</t>
  </si>
  <si>
    <t>.080 Mill Finished Aluminum Sheet /SF</t>
  </si>
  <si>
    <t>Type IV Asphalt Fiberglass Felt (5 sqs) /RL</t>
  </si>
  <si>
    <t>Modified Bitumen SBS Plus Granular Flash Sheet (3/4sq) /RL</t>
  </si>
  <si>
    <t>Slate-Small - 8"x 16" wide /EA</t>
  </si>
  <si>
    <t>SBS Modified Bitumen Base sheet (1-1/2sq) /RL</t>
  </si>
  <si>
    <t>2" Cap Nails 50# /BX</t>
  </si>
  <si>
    <t>1/2" High Density Roof Insulation 4'x8' /EA</t>
  </si>
  <si>
    <t>Aluminum Asphalt Mop Handle /EA</t>
  </si>
  <si>
    <t>#28 Fiberglass Base Sheet (3sq roll) /RL</t>
  </si>
  <si>
    <t>Roof Cement Rubberized (5-gal) /EA</t>
  </si>
  <si>
    <t>2"-3"-4"Lead Vent Stack /EA</t>
  </si>
  <si>
    <t>EPDM Splice Adhesive (1 gal)/EA</t>
  </si>
  <si>
    <t>1-1/4" Plastic Cap Nails (2000) /BX</t>
  </si>
  <si>
    <t>2" Galvanized Roofing Nails #50 /BX</t>
  </si>
  <si>
    <t>Modified Bitumen Adhesive-Trowel Grade /EA</t>
  </si>
  <si>
    <t>Type VI Fiberglass Felt 5 sqs /RL</t>
  </si>
  <si>
    <t>1/4" Dens Deck  Non-primed Gypsum 4X8 /EA</t>
  </si>
  <si>
    <t>Wood lathe #2 50pc (6') /BND</t>
  </si>
  <si>
    <t>2" Standard Common Nails 5# /BX</t>
  </si>
  <si>
    <t>Sanded Ice &amp; Water Shield (2 SQ)  /RL</t>
  </si>
  <si>
    <t>2" Galvanized Common Nails 5# /BX</t>
  </si>
  <si>
    <t>EPDM Primer (1 gal) /EA</t>
  </si>
  <si>
    <t>15# Asphalt Felt Paper /RL</t>
  </si>
  <si>
    <t>30# Aspahlt Felt Paper /RL</t>
  </si>
  <si>
    <t>1/2" 4'X8' Plywood 4'X8' SHT CDX /EA</t>
  </si>
  <si>
    <t>1# Bar Solder /EA</t>
  </si>
  <si>
    <t>.063 Mill Finished Aluminum Sheet/SF</t>
  </si>
  <si>
    <t>.050 Mill Finished Aluminum Sheet /SF</t>
  </si>
  <si>
    <t>.040 Aluminum Sheet Kynar-clad /SF</t>
  </si>
  <si>
    <t>3/4" 4'X8' Plywood 4'X8' SHT CDX /EA</t>
  </si>
  <si>
    <t>.032 Aluminum Sheet Kynar-clad /SF</t>
  </si>
  <si>
    <t>.040 Mill Finished Aluminum Sheet/SF</t>
  </si>
  <si>
    <t>EPDM Lap Caulk (Tube) /EA</t>
  </si>
  <si>
    <t>24 ga Galvinzied Sheet Metal/SF</t>
  </si>
  <si>
    <t>2X6x8 P.T Lumber /LF</t>
  </si>
  <si>
    <t>2X12x8 P.T Lumber /LF</t>
  </si>
  <si>
    <t>2X4x8 P.T Lumber /LF</t>
  </si>
  <si>
    <t>2X10x8 P.T Lumber /LF</t>
  </si>
  <si>
    <t>7/16" 4X8 Oriented Strand Bd 4'X8' SHT/EA</t>
  </si>
  <si>
    <t>Aluminum Standard Hatch 2'6" X 3' /EA</t>
  </si>
  <si>
    <t>1 part urethene Caulk 11 oz /TB</t>
  </si>
  <si>
    <t>PVC Cut Edge Sealant (Tube) /EA</t>
  </si>
  <si>
    <t>Isocyanurate Roof Insulation 1.5" -4'X8' piece /EA</t>
  </si>
  <si>
    <t>.060 TPO Field Sheet (10' x 50') /EA</t>
  </si>
  <si>
    <t>TPO Bonding Adhesive (5-Gal) /EA</t>
  </si>
  <si>
    <t xml:space="preserve">TPO All Purpose Caulk (Tube) /EA A heavy-bodied trowel- or gun-consistency materials used inconjunction with roofing system materials. </t>
  </si>
  <si>
    <t xml:space="preserve">5-gal Metal Roof Elastomeric Coating </t>
  </si>
  <si>
    <t>4" Stainless 10# Vent Stack - 8" high /EA</t>
  </si>
  <si>
    <t>Acrylic Touch up paint 10oz /CN</t>
  </si>
  <si>
    <t>16oz Copper Sheet Metal  16 oz /SF</t>
  </si>
  <si>
    <t>SHEET METAL-.018 TCS II SHEET 4'x10'</t>
  </si>
  <si>
    <t>SHEET METAL-.015 TCS II SHEET 4'x10'</t>
  </si>
  <si>
    <t>.063 Aluminum Sheet Kynar-clad /SF</t>
  </si>
  <si>
    <t>.018" Stainless Steel Sheet Metal /SF</t>
  </si>
  <si>
    <t>.00 Aluminum Sheet Kynar -clad/SF</t>
  </si>
  <si>
    <t>Asphalt Emulsion Roof Sealant (5-gal) /EA</t>
  </si>
  <si>
    <t>Modified Bitumen Adhesive-Brush Grade /EA</t>
  </si>
  <si>
    <t>Fibrated Roof Cement (5-Gal) /EA</t>
  </si>
  <si>
    <t>100# Carton Packagae Type IV Asphalt /EA</t>
  </si>
  <si>
    <t>Fiberglass Aspahlt Mop Head w/pin /EA</t>
  </si>
  <si>
    <t>Cotton Asphalt Mop Head w/pin /EA</t>
  </si>
  <si>
    <t>4" Asphalt Fabric (roll) /EA</t>
  </si>
  <si>
    <t>Red Rosin Paper /RL</t>
  </si>
  <si>
    <t>3/4" 4X8 Plywood SHT P.T 4'X8' /EA</t>
  </si>
  <si>
    <t>2" Stainless Steel Nails (1000) /BX</t>
  </si>
  <si>
    <t>3" Pneumatic Framing Nails (2000) /BX</t>
  </si>
  <si>
    <t>5/8" 4X5 Plywood SHT P.T 4'X8' /EA</t>
  </si>
  <si>
    <t>1/2 4X8 Plywood SHT P.T. 4'X8' /EA</t>
  </si>
  <si>
    <t>5/8" 4'X8' Plywood 4'X8' SHT CDX /EA</t>
  </si>
  <si>
    <t>2"Aluminum Nails (2000) /BX</t>
  </si>
  <si>
    <t>2X8x8 P.T Lumber /LF</t>
  </si>
  <si>
    <t>Single Ply-Ployvinyl Chloride  Field Sheet /EA  roofing membrane used for water proofing.</t>
  </si>
  <si>
    <t>Ply-Ployvinyl ChlorideUnreinforced Flashing /EA for industrail roofing maintenance .</t>
  </si>
  <si>
    <t>Low Slope Roof Patch used for patching  up  test Cut, Low Slope Roofs &amp; Patch  /EA</t>
  </si>
  <si>
    <t>Single Ply-EPDM Uncured Flashing /EA A system of single layers of rubber and reduces field seaming by offering sheets in widths up to 50 feet.</t>
  </si>
  <si>
    <t>TPO Unreinforced Flashing Membrane Minus the Reinforcement Fabric /EA</t>
  </si>
  <si>
    <t>Single PLY-EPDM(Rubber)  Field Sheet /EA a single-ply reflective roofing membrane made from polyprophylene and ethylene-propylene rubber polymerized together.</t>
  </si>
  <si>
    <t xml:space="preserve">Ply-Ployvinyl Chloride Bonding Adhesive (5-Gal)/ EA an Adhesive for attachement of a PVC roof. </t>
  </si>
  <si>
    <t>Modified Bitumen SBS Granular Cap Sheet roofing membrane (1 sq) designed for use as a waterproofing membrane and is reinforced with a glass mat, which is coated with a polymer-modified asphalt.</t>
  </si>
  <si>
    <t xml:space="preserve">Pneumatic Roofing Nails /BX for genral construction </t>
  </si>
  <si>
    <t>Modified Plus APP Granular roofing Membrane  3/4 sq /RL  Is   designed for use as a waterproofing membrane and is reinforced with a glass mat, which is coated with a polymer-modified asphalt.</t>
  </si>
  <si>
    <t>Modified SBS Smooth Roofing Membrane 1 sq /RL  Is designed for use as a waterproofing membrane and is reinforced with a glass mat, which is coated with a polymer-modified asphalt.</t>
  </si>
  <si>
    <t xml:space="preserve">Cedar shakes /EA  shingles slpit on one side. </t>
  </si>
  <si>
    <t>Strip Shingles 3-Tab /SQ</t>
  </si>
  <si>
    <t>Insulation Fasteners /EA to secure insulation to heavy steel.</t>
  </si>
  <si>
    <t>Tri-Laminate Shingles /SQ</t>
  </si>
  <si>
    <t xml:space="preserve">Slate-Large /EA roofing Tiles </t>
  </si>
  <si>
    <t>Dimensional Shingles /SQ</t>
  </si>
  <si>
    <t>Organic Base Sheet (2sq roll) /RL uperior quality felt that is saturated with asphalt and then coated on both sides with weathering grade coating asphalt.</t>
  </si>
  <si>
    <t xml:space="preserve">Slate-Medium /EA Roofing Tiles </t>
  </si>
  <si>
    <t xml:space="preserve">Cedar Shingles /EA shingle not split  used as covering on roofs. </t>
  </si>
  <si>
    <t>Copper Vent Stack /EA  Roofing Vents For Microwave Fans, Cook top fans, or other Kitchen venting exhaust needs.</t>
  </si>
  <si>
    <t xml:space="preserve">Granules 5 gallon pail /EA composed of a
granite like mineral permanently coated with various pigmentsusing a ceramic coating process. </t>
  </si>
  <si>
    <t>Modified App-Granular roofing membrane1 sq /RL  Is  designed for use as a waterproofing membrane and is reinforced with a glass mat, which is coated with a polymer-modified asphalt.</t>
  </si>
  <si>
    <t>Modified Bitumen APP-Smooth For roofing membrane(1 sq) /RL  Is designed for use as a waterproofing membrane and is reinforced with a glass mat, which is coated with a polymer-modified asphalt.</t>
  </si>
  <si>
    <t>Sheet metal .080 Mill Finished Aluminum /SF uses  includes cladding,  flashing, and Tempering. Which is a heat treatment technique used to increase the toughness of metals.</t>
  </si>
  <si>
    <t>Type IV Fiberglass Felt 5 sqs /RL A  Heavyweight fiberglass mat with heat-cured resinous binders used in a variety of Carlisle multiple-ply roofing systems.  May be used as a temporary roof in certain applications.</t>
  </si>
  <si>
    <t>Modified Bitumen SBS Plus Granular Flash Sheet Roofing Membrane(3/4sq) /RL Is designed for use as a waterproofing membrane and is reinforced with a glass mat, which is coated with a polymer-modified asphalt.</t>
  </si>
  <si>
    <t xml:space="preserve">Slate-Small /EA Roofing Tiles </t>
  </si>
  <si>
    <t>SBS Base sheet 1-1/2sq /RL Is designed for use as a waterproofing membrane and is reinforced with a glass mat, which is coated with a polymer-modified asphalt.</t>
  </si>
  <si>
    <t>Cap Nails 50# /BX  long plastic round capped roofing nails.</t>
  </si>
  <si>
    <t>High Density Roof Insulation /EA</t>
  </si>
  <si>
    <t>Aluminum Mop Handle /EA  to conect to the mod head for the application of hot asphalt to built-up roofs.</t>
  </si>
  <si>
    <t>Fiberglass Base Sheet (3sq roll) /RL A premium roofing base sheet constructed with a strong glass mat that is coated on both sides to assure a closed-sheet design to prevent asphalt bleed-through. The sealed sheet also serves as an effective flame retarder for the application of torch-applied modified bitumen membranes.</t>
  </si>
  <si>
    <t xml:space="preserve">Roof Cement Rubberized (5-gal) /EA A multi-purpose patching material and adhesive for repairing holes and leaks in roofs; fixing rust spots and joints in leaky gutters and metal trim; and stopping leaks in flashing around chimneys, valleys and coping. </t>
  </si>
  <si>
    <t>Lead Vent Stack /EA Roofing Vents For Microwave Fans, Cook top fans, or other Kitchen venting exhaust needs.</t>
  </si>
  <si>
    <t xml:space="preserve">Single PLY-EPDM (Rubber) Splice Adhesive (1 gal)/EA A heavy-bodiedtrowel- or gun-consistency materials used inconjunction with roofing system materials. </t>
  </si>
  <si>
    <t>Plastic Cap Nails /BX long plastic round capped roofing nails.</t>
  </si>
  <si>
    <t>Galvanized Roofing Nails #50 /BX</t>
  </si>
  <si>
    <t xml:space="preserve">Coating Roof MB Adhesive-Trowel Grade 5 Gal.  A heavy-bodiedtrowel- or gun-consistency materials used inconjunction with roofing system materials. </t>
  </si>
  <si>
    <t>Type VI Fiberglass Felt 5 sqs /RL A Heavyweight fiberglass mat with heat-cured resinous binders used in a variety of Carlisle multiple-ply roofing systems.  May be used as a temporary roof in certain applications.</t>
  </si>
  <si>
    <t>1/4" Dens Deck 4X8 /EA  eco friendly Roofing Insulation.</t>
  </si>
  <si>
    <t>Wood lath #2 50pc /BND  a thin, narrow strip of straight-grained wood used under roof shingles or tiles.</t>
  </si>
  <si>
    <t>Standard Common Nails 5# /BX</t>
  </si>
  <si>
    <t>Ice &amp; Water Shield  /RL  A thin layer of waterproof material that prevents damage of the roof from water buildup behind ice dams.</t>
  </si>
  <si>
    <t>Galvanized Common Nails 5# /BX</t>
  </si>
  <si>
    <t>Single Ply-EPDM  (rubber) Primer 1 Gallon  Is a Primer one puts on before aapplying the Single Ply-EPDM.</t>
  </si>
  <si>
    <t xml:space="preserve"> Felt  roofing memebrane roll </t>
  </si>
  <si>
    <t>1/2" 4'X8' Plywood 4'X8' CDX /EA for commerical or residential.</t>
  </si>
  <si>
    <t>1# Bar Solder /EA Electropure Bar Solder is processed from virgin metals in a proprietary method that removes dirt and reduces dissolved oxides to a minimum. The result is an extremely pure, low drossing solder bar that increases throughput and decreases defects.</t>
  </si>
  <si>
    <t>Sheet Metal .063 Mill Finished Aluminum /SF uses  includes cladding,  flashing, and Tempering. Which is a heat treatment technique used to increase the toughness of metals.</t>
  </si>
  <si>
    <t>Sheet Metal .050 Mill Finished aluminum /SF uses  includes cladding,  flashing, and Tempering. Which is a heat treatment technique used to increase the toughness of metals.</t>
  </si>
  <si>
    <t>Sheet Metal 24 ga Galvinzied Sheet Kynar Finished  /SF uses  includes cladding,  flashing, and Tempering. Which is a heat treatment technique used to increase the toughness of metals.</t>
  </si>
  <si>
    <t>3/4" 4'X8' Plywood 4'X8' CDX /EA for commerical or residential.</t>
  </si>
  <si>
    <t>Sheet Metal .032 Mill Finished Aluminum /SF uses  includes cladding,  flashing, and Tempering. Which is a heat treatment technique used to increase the toughness of metals.</t>
  </si>
  <si>
    <t>Sheet Metal .040 Mill Finished Aluminum /SF uses  includes cladding,  flashing, and Tempering. Which is a heat treatment technique used to increase the toughness of metals.</t>
  </si>
  <si>
    <t xml:space="preserve">Single Ply-EPDM(Rubber) Lap Caulk per Tube A heavy-bodied trowel- or gun-consistency materials used inconjunction with roofing system materials. </t>
  </si>
  <si>
    <t>Sheet Metal 22 ga Galvanized Sheet /SF uses  includes cladding,  flashing, and Tempering. Which is a heat treatment technique used to increase the toughness of metals.</t>
  </si>
  <si>
    <t>Sheet Metal 24 ga Galvinzied Sheet /SF uses  includes cladding,  flashing, and Tempering. Which is a heat treatment technique used to increase the toughness of metals.</t>
  </si>
  <si>
    <t>2X6 P.T Lumber /LF Pressure treated for Above Ground. Common construction grade.</t>
  </si>
  <si>
    <t>2X12 P.T Lumber /LF Pressure treated for Above Ground. Common construction grade.</t>
  </si>
  <si>
    <t>Tri Polymer Sealant 11oz /TB  Resists deterioration from weather, stress or movementFlexible to expand and contract with construction materialsUV and ozone resistant.</t>
  </si>
  <si>
    <t>2X4 P.T Lumber /LF Pressure treated for Above Ground. Common construction grade.</t>
  </si>
  <si>
    <t>2X10 P.T Lumber /LF Pressure treated for Above Ground. Common construction grade.</t>
  </si>
  <si>
    <t xml:space="preserve">7/16" 4X8 Oriented Strand Bd 4'X8' /EA for load-bearing strength in construction for roof decking </t>
  </si>
  <si>
    <t>Standard Aluminum Roof  Hatch 2'6" X 3' /EA provide a convenient way to install or remove large pieces of equipment from a building.</t>
  </si>
  <si>
    <t>Sealant, 1 part urethene 11 oz /TB  for pitch plan penetrations.</t>
  </si>
  <si>
    <t>Ply-Ployvinyl Chloride Cut Edge Sealant (Tube) /EA for pitch plan penetrations. for pitch plan penetrations. a free-ﬂ owing, translucent polymeric  material designed for sealing cut edges (exposed fabric) of Sure-Flex  PVC Reinforced Membrane, providing a waterproof barrier where scrim  reinforcement is exposed.</t>
  </si>
  <si>
    <t xml:space="preserve">Isocyanurate Tapered Roof Insulation 1.5" -4'X8' piece /EA  Foam insulation used for roofing. </t>
  </si>
  <si>
    <t>Single  PLY-TPO Field Sheet /EA a single-ply reflective roofing membrane made from polyprophylene and ethylene-propylene rubber polymerized together.</t>
  </si>
  <si>
    <t>Single Ply-TPO Bonding Adhesive (5 Gal.)  /EA Is a high strength solvent-based contact adhesive that allows bonding of TPO membrane to various porous and non-porous substrates.</t>
  </si>
  <si>
    <t xml:space="preserve">TPO Caulk /EA for pitch plan penetrations A heavy-bodiedtrowel- or gun-consistency materials used inconjunction with roofing system materials. </t>
  </si>
  <si>
    <t>Metal coating Roof/Elastomeric 5 Gal. which Seals &amp; protects roofs for longer life.</t>
  </si>
  <si>
    <t>Stainless 10# Vent Stack /EA.  For Microwave Fans, Cook top fans, or other Kitchen venting exhaust needs.</t>
  </si>
  <si>
    <t>Touch up paint 10oz /CN applied  to create a tough, protective barrier that can wear for decades.</t>
  </si>
  <si>
    <t>16oz Copper Sheet oz   /SF applications in roofing, uses  includes cladding,  flashing, and Tempering. Which is a heat treatment technique used to increase the toughness of metals.</t>
  </si>
  <si>
    <t>Terne Coated SHEET METAL-.018 TCS II SHEET uses  includes cladding,  flashing, and Tempering. Which is a heat treatment technique used to increase the toughness of metals.</t>
  </si>
  <si>
    <t>Terne CoatedSHEET METAL-.015 TCS II SHEET uses  includes cladding,  flashing, and Tempering. Which is a heat treatment technique used to increase the toughness of metals.</t>
  </si>
  <si>
    <t>Sheet .063 Aluminum Sheet Kynar Finish /SF uses  includes cladding,  flashing, and Tempering. Which is a heat treatment technique used to increase the toughness of metals.</t>
  </si>
  <si>
    <t>Sheet Metal .018" Stainless Steel Sheet /SF uses  includes cladding,  flashing, and Tempering. Which is a heat treatment technique used to increase the toughness of metals.</t>
  </si>
  <si>
    <t>Sheet metal .00 Aluminum Sheet Kynar finished  /SF uses  includes cladding,  flashing, and Tempering. Which is a heat treatment technique used to increase the toughness of metals.</t>
  </si>
  <si>
    <t>Sheet Metal .040 Aluminum Sheet Kynar Finsihed  /SF uses  includes cladding,  flashing, and Tempering. Which is a heat treatment technique used to increase the toughness of metals.</t>
  </si>
  <si>
    <t>Sheet metal .032 Aluminum Sheet Kynar Finsihed /SF uses  includes cladding,  flashing, and Tempering. Which is a heat treatment technique used to increase the toughness of metals.</t>
  </si>
  <si>
    <t xml:space="preserve">Coating, Emulsion Roof Sealant is a premium, versatile coating for the protection of roofing materials, metal, and masonry surfaces. </t>
  </si>
  <si>
    <t xml:space="preserve">Coating, MD Adhesive-Brush Grade 5 Gal. A heavy-bodiedtrowel- or gun-consistency materials used inconjunction with roofing system materials. </t>
  </si>
  <si>
    <t xml:space="preserve">Fibraded Roof Cement /EA A multi-purpose patching material and adhesive for repairing holes and leaks in roofs; fixing rust spots and joints in leaky gutters and metal trim; and stopping leaks in flashing around chimneys, valleys and coping. </t>
  </si>
  <si>
    <t xml:space="preserve">100# Carton Packagae Asphalt /EA an asphalt that provides superior elastic performance against thermal shock, the daily expansion and contraction of a roof membrane caused by temperature changes. Roof membranes are also penetrated by the sun's destructive UV (ultraviolet) rays. </t>
  </si>
  <si>
    <t>Fiberglass Aspahlt Mop Head w/pin /EA for the application of hot asphalt to built-up roofs.</t>
  </si>
  <si>
    <t>Cotton Asphalt Mop Head w/pin /EA for the application of hot asphalt to built-up roofs.</t>
  </si>
  <si>
    <t xml:space="preserve">Asphalt Fabric /EA  used for low sloped roof pitch </t>
  </si>
  <si>
    <t>Rosin Paper /RL single-ply sheathing paper, which is widely used in built-up roofing systems as a “first layer” protective barrier.</t>
  </si>
  <si>
    <t>.3/4" 4X8 Plywood P.T 4'X8' /EA for commerical or residential.</t>
  </si>
  <si>
    <t>Stainless Steel Nails /BX roofing nails</t>
  </si>
  <si>
    <t>Pneumatic Framing Nails /BX for genral construction.</t>
  </si>
  <si>
    <t xml:space="preserve">5/8" 4X5 Plywood P.T 4'X8' /EA for commerical or residential. </t>
  </si>
  <si>
    <t>1/2 4X8 Plywood P.T. 4'X8' /EA for commerical or residential.</t>
  </si>
  <si>
    <t>5/8" 4'X8' Plywood 4'X8' CDX /EA for commerical or residential.</t>
  </si>
  <si>
    <t xml:space="preserve">Aluminum Nails /BX rofing nails </t>
  </si>
  <si>
    <t>2X8 P.T Lumber /LF Pressure treated for Above Ground. Common construction grade.</t>
  </si>
  <si>
    <t>EA</t>
  </si>
  <si>
    <t>TB</t>
  </si>
  <si>
    <t>SQ</t>
  </si>
  <si>
    <t>RL</t>
  </si>
  <si>
    <t>CN</t>
  </si>
  <si>
    <t>SF</t>
  </si>
  <si>
    <t>BX</t>
  </si>
  <si>
    <t>BND</t>
  </si>
  <si>
    <t>LF</t>
  </si>
  <si>
    <t>564 4</t>
  </si>
  <si>
    <t>565 4</t>
  </si>
  <si>
    <t>566 4</t>
  </si>
  <si>
    <t>567 4</t>
  </si>
  <si>
    <t>568 4</t>
  </si>
  <si>
    <t>569 4</t>
  </si>
  <si>
    <t>570 4</t>
  </si>
  <si>
    <t>571 4</t>
  </si>
  <si>
    <t>572 4</t>
  </si>
  <si>
    <t>573 4</t>
  </si>
  <si>
    <t>574 4</t>
  </si>
  <si>
    <t>575 4</t>
  </si>
  <si>
    <t>576 4</t>
  </si>
  <si>
    <t>577 4</t>
  </si>
  <si>
    <t>578 4</t>
  </si>
  <si>
    <t>579 4</t>
  </si>
  <si>
    <t>580 4</t>
  </si>
  <si>
    <t>581 4</t>
  </si>
  <si>
    <t>582 4</t>
  </si>
  <si>
    <t>583 4</t>
  </si>
  <si>
    <t>584 4</t>
  </si>
  <si>
    <t>585 4</t>
  </si>
  <si>
    <t>586 4</t>
  </si>
  <si>
    <t>587 4</t>
  </si>
  <si>
    <t>588 4</t>
  </si>
  <si>
    <t>589 4</t>
  </si>
  <si>
    <t>590 4</t>
  </si>
  <si>
    <t>591 4</t>
  </si>
  <si>
    <t>592 4</t>
  </si>
  <si>
    <t>593 4</t>
  </si>
  <si>
    <t>594 4</t>
  </si>
  <si>
    <t>595 4</t>
  </si>
  <si>
    <t>596 4</t>
  </si>
  <si>
    <t>597 4</t>
  </si>
  <si>
    <t>598 4</t>
  </si>
  <si>
    <t>599 4</t>
  </si>
  <si>
    <t>600 4</t>
  </si>
  <si>
    <t>601 4</t>
  </si>
  <si>
    <t>602 4</t>
  </si>
  <si>
    <t>603 4</t>
  </si>
  <si>
    <t>604 4</t>
  </si>
  <si>
    <t>605 4</t>
  </si>
  <si>
    <t>606 4</t>
  </si>
  <si>
    <t>607 4</t>
  </si>
  <si>
    <t>608 4</t>
  </si>
  <si>
    <t>609 4</t>
  </si>
  <si>
    <t>610 4</t>
  </si>
  <si>
    <t>611 4</t>
  </si>
  <si>
    <t>612 4</t>
  </si>
  <si>
    <t>613 4</t>
  </si>
  <si>
    <t>614 4</t>
  </si>
  <si>
    <t>615 4</t>
  </si>
  <si>
    <t>616 4</t>
  </si>
  <si>
    <t>617 4</t>
  </si>
  <si>
    <t>618 4</t>
  </si>
  <si>
    <t>619 4</t>
  </si>
  <si>
    <t>620 4</t>
  </si>
  <si>
    <t>621 4</t>
  </si>
  <si>
    <t>622 4</t>
  </si>
  <si>
    <t>623 4</t>
  </si>
  <si>
    <t>624 4</t>
  </si>
  <si>
    <t>625 4</t>
  </si>
  <si>
    <t>626 4</t>
  </si>
  <si>
    <t>627 4</t>
  </si>
  <si>
    <t>628 4</t>
  </si>
  <si>
    <t>629 4</t>
  </si>
  <si>
    <t>630 4</t>
  </si>
  <si>
    <t>631 4</t>
  </si>
  <si>
    <t>632 4</t>
  </si>
  <si>
    <t>633 4</t>
  </si>
  <si>
    <t>634 4</t>
  </si>
  <si>
    <t>635 4</t>
  </si>
  <si>
    <t>636 4</t>
  </si>
  <si>
    <t>637 4</t>
  </si>
  <si>
    <t>638 4</t>
  </si>
  <si>
    <t>639 4</t>
  </si>
  <si>
    <t>640 4</t>
  </si>
  <si>
    <t>641 4</t>
  </si>
  <si>
    <t>642 4</t>
  </si>
  <si>
    <t>643 4</t>
  </si>
  <si>
    <t>644 4</t>
  </si>
  <si>
    <t>645 4</t>
  </si>
  <si>
    <t>646 4</t>
  </si>
  <si>
    <t>647 4</t>
  </si>
  <si>
    <t>648 4</t>
  </si>
  <si>
    <t>649 4</t>
  </si>
  <si>
    <t>650 4</t>
  </si>
  <si>
    <t>651 4</t>
  </si>
  <si>
    <t>652 4</t>
  </si>
  <si>
    <t>653 4</t>
  </si>
  <si>
    <t>654 4</t>
  </si>
  <si>
    <t>655 4</t>
  </si>
  <si>
    <t>656 4</t>
  </si>
  <si>
    <t>657 4</t>
  </si>
  <si>
    <t>658 4</t>
  </si>
  <si>
    <t>659 4</t>
  </si>
  <si>
    <t>660 4</t>
  </si>
  <si>
    <t>661 4</t>
  </si>
  <si>
    <t>ENTERPRISE ROOFING &amp; SHEET METAL CO.</t>
  </si>
  <si>
    <t>GS-07F-0201T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</si>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</sst>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theme="1"/>
      <name val="Times New Roman"/>
      <family val="1"/>
    </font>
    <font>
      <sz val="12"/>
      <color theme="1"/>
      <name val="Arial"/>
      <family val="2"/>
    </font>
    <font>
      <b/>
      <sz val="9"/>
      <color indexed="81"/>
      <name val="Tahoma"/>
      <charset val="1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10" fontId="4" fillId="3" borderId="1" xfId="2" applyNumberFormat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9" fontId="0" fillId="0" borderId="0" xfId="5" applyFont="1"/>
    <xf numFmtId="0" fontId="0" fillId="0" borderId="0" xfId="4" applyNumberFormat="1" applyFont="1"/>
    <xf numFmtId="0" fontId="0" fillId="0" borderId="3" xfId="0" applyFont="1" applyBorder="1"/>
    <xf numFmtId="0" fontId="0" fillId="0" borderId="3" xfId="0" applyBorder="1" applyAlignment="1"/>
    <xf numFmtId="0" fontId="0" fillId="4" borderId="3" xfId="0" applyFont="1" applyFill="1" applyBorder="1" applyAlignment="1"/>
    <xf numFmtId="0" fontId="7" fillId="4" borderId="3" xfId="0" applyFont="1" applyFill="1" applyBorder="1" applyAlignment="1"/>
    <xf numFmtId="0" fontId="0" fillId="4" borderId="3" xfId="0" applyFill="1" applyBorder="1" applyAlignment="1"/>
    <xf numFmtId="0" fontId="7" fillId="0" borderId="3" xfId="0" applyFont="1" applyBorder="1" applyAlignment="1"/>
    <xf numFmtId="0" fontId="7" fillId="4" borderId="3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 vertical="top"/>
    </xf>
    <xf numFmtId="0" fontId="7" fillId="4" borderId="0" xfId="0" applyFont="1" applyFill="1" applyBorder="1" applyAlignment="1"/>
    <xf numFmtId="0" fontId="8" fillId="4" borderId="3" xfId="0" applyFont="1" applyFill="1" applyBorder="1" applyAlignment="1"/>
    <xf numFmtId="0" fontId="7" fillId="0" borderId="0" xfId="0" applyFont="1" applyBorder="1" applyAlignment="1"/>
    <xf numFmtId="0" fontId="9" fillId="0" borderId="3" xfId="0" applyNumberFormat="1" applyFont="1" applyFill="1" applyBorder="1" applyAlignment="1">
      <alignment vertical="top" wrapText="1"/>
    </xf>
    <xf numFmtId="0" fontId="9" fillId="0" borderId="3" xfId="0" applyNumberFormat="1" applyFont="1" applyFill="1" applyBorder="1" applyAlignment="1">
      <alignment wrapText="1"/>
    </xf>
    <xf numFmtId="44" fontId="1" fillId="4" borderId="3" xfId="4" applyNumberFormat="1" applyFont="1" applyFill="1" applyBorder="1"/>
    <xf numFmtId="44" fontId="1" fillId="4" borderId="3" xfId="4" applyFont="1" applyFill="1" applyBorder="1" applyAlignment="1"/>
    <xf numFmtId="44" fontId="1" fillId="4" borderId="3" xfId="4" applyFont="1" applyFill="1" applyBorder="1"/>
    <xf numFmtId="44" fontId="0" fillId="4" borderId="3" xfId="4" applyFont="1" applyFill="1" applyBorder="1" applyAlignment="1"/>
    <xf numFmtId="44" fontId="1" fillId="0" borderId="3" xfId="4" applyFont="1" applyBorder="1"/>
    <xf numFmtId="44" fontId="1" fillId="0" borderId="3" xfId="4" applyFont="1" applyBorder="1" applyAlignment="1"/>
    <xf numFmtId="44" fontId="0" fillId="0" borderId="0" xfId="4" applyNumberFormat="1" applyFont="1"/>
    <xf numFmtId="164" fontId="0" fillId="0" borderId="3" xfId="0" applyNumberFormat="1" applyBorder="1"/>
    <xf numFmtId="164" fontId="0" fillId="0" borderId="3" xfId="0" applyNumberFormat="1" applyBorder="1" applyAlignment="1"/>
    <xf numFmtId="164" fontId="0" fillId="0" borderId="3" xfId="0" applyNumberFormat="1" applyFont="1" applyBorder="1" applyAlignment="1"/>
    <xf numFmtId="164" fontId="0" fillId="0" borderId="0" xfId="4" applyNumberFormat="1" applyFont="1"/>
  </cellXfs>
  <cellStyles count="6">
    <cellStyle name="Comma 2" xfId="3"/>
    <cellStyle name="Currency" xfId="4" builtinId="4"/>
    <cellStyle name="Normal" xfId="0" builtinId="0"/>
    <cellStyle name="Normal 2" xfId="1"/>
    <cellStyle name="Percent" xfId="5" builtinId="5"/>
    <cellStyle name="Percent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00"/>
  <sheetViews>
    <sheetView tabSelected="1" zoomScale="82" zoomScaleNormal="82" workbookViewId="0">
      <selection activeCell="G3" sqref="G3"/>
    </sheetView>
  </sheetViews>
  <sheetFormatPr defaultRowHeight="15" x14ac:dyDescent="0.2"/>
  <cols>
    <col min="1" max="2" width="10.109375" customWidth="1"/>
    <col min="4" max="4" width="9.6640625" customWidth="1"/>
    <col min="6" max="6" width="22.88671875" customWidth="1"/>
    <col min="7" max="7" width="34.109375" customWidth="1"/>
    <col min="8" max="8" width="9.88671875" customWidth="1"/>
    <col min="9" max="9" width="26.88671875" customWidth="1"/>
    <col min="10" max="10" width="10.109375" customWidth="1"/>
    <col min="12" max="13" width="8.77734375" style="7"/>
    <col min="14" max="15" width="10.21875" style="7" bestFit="1" customWidth="1"/>
    <col min="16" max="16" width="8.6640625" style="6" customWidth="1"/>
    <col min="17" max="17" width="13" customWidth="1"/>
    <col min="18" max="18" width="11.109375" customWidth="1"/>
    <col min="19" max="19" width="11.5546875" customWidth="1"/>
    <col min="20" max="20" width="11.21875" customWidth="1"/>
    <col min="21" max="21" width="15.109375" style="6" customWidth="1"/>
  </cols>
  <sheetData>
    <row r="1" spans="1:21" ht="61.15" customHeight="1" thickBot="1" x14ac:dyDescent="0.25">
      <c r="A1" s="4" t="s">
        <v>17</v>
      </c>
      <c r="B1" s="4" t="s">
        <v>18</v>
      </c>
      <c r="C1" s="3" t="s">
        <v>10</v>
      </c>
      <c r="D1" s="3" t="s">
        <v>11</v>
      </c>
      <c r="E1" s="1" t="s">
        <v>0</v>
      </c>
      <c r="F1" s="4" t="s">
        <v>1</v>
      </c>
      <c r="G1" s="4" t="s">
        <v>20</v>
      </c>
      <c r="H1" s="4" t="s">
        <v>12</v>
      </c>
      <c r="I1" s="4" t="s">
        <v>19</v>
      </c>
      <c r="J1" s="4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2" t="s">
        <v>9</v>
      </c>
      <c r="Q1" s="1" t="s">
        <v>15</v>
      </c>
      <c r="R1" s="1" t="s">
        <v>16</v>
      </c>
      <c r="S1" s="5" t="s">
        <v>13</v>
      </c>
      <c r="T1" s="4" t="s">
        <v>14</v>
      </c>
      <c r="U1" s="1" t="s">
        <v>8</v>
      </c>
    </row>
    <row r="2" spans="1:21" ht="15.75" x14ac:dyDescent="0.25">
      <c r="A2" t="s">
        <v>21</v>
      </c>
      <c r="B2" t="s">
        <v>334</v>
      </c>
      <c r="C2" t="s">
        <v>333</v>
      </c>
      <c r="D2" t="s">
        <v>332</v>
      </c>
      <c r="E2" s="8" t="s">
        <v>22</v>
      </c>
      <c r="F2" s="10" t="s">
        <v>30</v>
      </c>
      <c r="G2" s="11" t="s">
        <v>95</v>
      </c>
      <c r="I2" s="11" t="s">
        <v>95</v>
      </c>
      <c r="J2" s="11" t="s">
        <v>191</v>
      </c>
      <c r="K2" s="19" t="s">
        <v>225</v>
      </c>
      <c r="L2" s="21">
        <v>1512.5</v>
      </c>
      <c r="M2" s="25">
        <v>1512.5</v>
      </c>
      <c r="N2" s="27">
        <f>L2</f>
        <v>1512.5</v>
      </c>
      <c r="O2" s="27">
        <f>M2</f>
        <v>1512.5</v>
      </c>
      <c r="P2" s="6">
        <f>(M2-L2)/M2</f>
        <v>0</v>
      </c>
      <c r="Q2" s="31">
        <v>1361.25</v>
      </c>
      <c r="R2" s="28">
        <v>1371.5365239294711</v>
      </c>
      <c r="S2" s="31">
        <v>1361.25</v>
      </c>
      <c r="T2" s="28">
        <v>1371.5365239294711</v>
      </c>
      <c r="U2" s="6">
        <f>Q2/S2-1</f>
        <v>0</v>
      </c>
    </row>
    <row r="3" spans="1:21" ht="15.75" x14ac:dyDescent="0.25">
      <c r="A3" t="s">
        <v>21</v>
      </c>
      <c r="B3" t="s">
        <v>334</v>
      </c>
      <c r="C3" t="s">
        <v>333</v>
      </c>
      <c r="D3" t="s">
        <v>332</v>
      </c>
      <c r="E3" s="8" t="s">
        <v>234</v>
      </c>
      <c r="F3" s="10" t="s">
        <v>23</v>
      </c>
      <c r="G3" s="11" t="s">
        <v>96</v>
      </c>
      <c r="I3" s="11" t="s">
        <v>96</v>
      </c>
      <c r="J3" s="11" t="s">
        <v>192</v>
      </c>
      <c r="K3" s="19" t="s">
        <v>226</v>
      </c>
      <c r="L3" s="22">
        <v>13.39</v>
      </c>
      <c r="M3" s="22">
        <v>13.39</v>
      </c>
      <c r="N3" s="27">
        <f t="shared" ref="N3:N66" si="0">L3</f>
        <v>13.39</v>
      </c>
      <c r="O3" s="27">
        <f t="shared" ref="O3:O66" si="1">M3</f>
        <v>13.39</v>
      </c>
      <c r="P3" s="6">
        <f t="shared" ref="P3:P66" si="2">(M3-L3)/M3</f>
        <v>0</v>
      </c>
      <c r="Q3" s="31">
        <v>12.051</v>
      </c>
      <c r="R3" s="29">
        <v>12.142065491183878</v>
      </c>
      <c r="S3" s="7">
        <v>12.051</v>
      </c>
      <c r="T3">
        <v>12.142065491183878</v>
      </c>
      <c r="U3" s="6">
        <f t="shared" ref="U3:U66" si="3">Q3/S3-1</f>
        <v>0</v>
      </c>
    </row>
    <row r="4" spans="1:21" ht="15.75" x14ac:dyDescent="0.25">
      <c r="A4" t="s">
        <v>21</v>
      </c>
      <c r="B4" t="s">
        <v>334</v>
      </c>
      <c r="C4" t="s">
        <v>333</v>
      </c>
      <c r="D4" t="s">
        <v>332</v>
      </c>
      <c r="E4" s="8" t="s">
        <v>235</v>
      </c>
      <c r="F4" s="10" t="s">
        <v>23</v>
      </c>
      <c r="G4" s="11" t="s">
        <v>32</v>
      </c>
      <c r="I4" s="11" t="s">
        <v>32</v>
      </c>
      <c r="J4" s="11" t="s">
        <v>127</v>
      </c>
      <c r="K4" s="19" t="s">
        <v>225</v>
      </c>
      <c r="L4" s="22">
        <v>583.49</v>
      </c>
      <c r="M4" s="26">
        <v>1469.6</v>
      </c>
      <c r="N4" s="27">
        <f t="shared" si="0"/>
        <v>583.49</v>
      </c>
      <c r="O4" s="27">
        <f t="shared" si="1"/>
        <v>1469.6</v>
      </c>
      <c r="P4" s="6">
        <f t="shared" si="2"/>
        <v>0.60295998911268367</v>
      </c>
      <c r="Q4" s="31">
        <v>525.14099999999996</v>
      </c>
      <c r="R4" s="29">
        <v>529.10931989924427</v>
      </c>
      <c r="S4" s="7">
        <v>1322.6399999999999</v>
      </c>
      <c r="T4">
        <v>1332.6347607052894</v>
      </c>
      <c r="U4" s="6">
        <f t="shared" si="3"/>
        <v>-0.60295998911268378</v>
      </c>
    </row>
    <row r="5" spans="1:21" ht="15.75" x14ac:dyDescent="0.25">
      <c r="A5" t="s">
        <v>21</v>
      </c>
      <c r="B5" t="s">
        <v>334</v>
      </c>
      <c r="C5" t="s">
        <v>333</v>
      </c>
      <c r="D5" t="s">
        <v>332</v>
      </c>
      <c r="E5" s="8" t="s">
        <v>236</v>
      </c>
      <c r="F5" s="10" t="s">
        <v>23</v>
      </c>
      <c r="G5" s="11" t="s">
        <v>45</v>
      </c>
      <c r="I5" s="11" t="s">
        <v>45</v>
      </c>
      <c r="J5" s="11" t="s">
        <v>140</v>
      </c>
      <c r="K5" s="19" t="s">
        <v>225</v>
      </c>
      <c r="L5" s="22">
        <v>240.87</v>
      </c>
      <c r="M5" s="26">
        <v>313.76</v>
      </c>
      <c r="N5" s="27">
        <f t="shared" si="0"/>
        <v>240.87</v>
      </c>
      <c r="O5" s="27">
        <f t="shared" si="1"/>
        <v>313.76</v>
      </c>
      <c r="P5" s="6">
        <f t="shared" si="2"/>
        <v>0.23231132075471694</v>
      </c>
      <c r="Q5" s="31">
        <v>216.78300000000002</v>
      </c>
      <c r="R5" s="29">
        <v>218.42115869017633</v>
      </c>
      <c r="S5" s="7">
        <v>282.38400000000001</v>
      </c>
      <c r="T5">
        <v>284.5178841309824</v>
      </c>
      <c r="U5" s="6">
        <f t="shared" si="3"/>
        <v>-0.23231132075471694</v>
      </c>
    </row>
    <row r="6" spans="1:21" ht="15.75" x14ac:dyDescent="0.25">
      <c r="A6" t="s">
        <v>21</v>
      </c>
      <c r="B6" t="s">
        <v>334</v>
      </c>
      <c r="C6" t="s">
        <v>333</v>
      </c>
      <c r="D6" t="s">
        <v>332</v>
      </c>
      <c r="E6" s="8" t="s">
        <v>237</v>
      </c>
      <c r="F6" s="10" t="s">
        <v>23</v>
      </c>
      <c r="G6" s="11" t="s">
        <v>33</v>
      </c>
      <c r="I6" s="11" t="s">
        <v>33</v>
      </c>
      <c r="J6" s="11" t="s">
        <v>128</v>
      </c>
      <c r="K6" s="19" t="s">
        <v>225</v>
      </c>
      <c r="L6" s="22">
        <v>213.95</v>
      </c>
      <c r="M6" s="26">
        <v>604.87</v>
      </c>
      <c r="N6" s="27">
        <f t="shared" si="0"/>
        <v>213.95</v>
      </c>
      <c r="O6" s="27">
        <f t="shared" si="1"/>
        <v>604.87</v>
      </c>
      <c r="P6" s="6">
        <f t="shared" si="2"/>
        <v>0.64628763205316853</v>
      </c>
      <c r="Q6" s="31">
        <v>192.55499999999998</v>
      </c>
      <c r="R6" s="29">
        <v>194.0100755667506</v>
      </c>
      <c r="S6" s="7">
        <v>544.38300000000004</v>
      </c>
      <c r="T6">
        <v>548.49672544080602</v>
      </c>
      <c r="U6" s="6">
        <f t="shared" si="3"/>
        <v>-0.64628763205316853</v>
      </c>
    </row>
    <row r="7" spans="1:21" ht="15.75" x14ac:dyDescent="0.25">
      <c r="A7" t="s">
        <v>21</v>
      </c>
      <c r="B7" t="s">
        <v>334</v>
      </c>
      <c r="C7" t="s">
        <v>333</v>
      </c>
      <c r="D7" t="s">
        <v>332</v>
      </c>
      <c r="E7" s="8" t="s">
        <v>238</v>
      </c>
      <c r="F7" s="10" t="s">
        <v>23</v>
      </c>
      <c r="G7" s="11" t="s">
        <v>38</v>
      </c>
      <c r="I7" s="11" t="s">
        <v>38</v>
      </c>
      <c r="J7" s="11" t="s">
        <v>133</v>
      </c>
      <c r="K7" s="19" t="s">
        <v>225</v>
      </c>
      <c r="L7" s="22">
        <v>175.05</v>
      </c>
      <c r="M7" s="26">
        <v>314.60000000000002</v>
      </c>
      <c r="N7" s="27">
        <f t="shared" si="0"/>
        <v>175.05</v>
      </c>
      <c r="O7" s="27">
        <f t="shared" si="1"/>
        <v>314.60000000000002</v>
      </c>
      <c r="P7" s="6">
        <f t="shared" si="2"/>
        <v>0.4435791481246027</v>
      </c>
      <c r="Q7" s="31">
        <v>157.54500000000002</v>
      </c>
      <c r="R7" s="29">
        <v>158.73551637279598</v>
      </c>
      <c r="S7" s="7">
        <v>283.14000000000004</v>
      </c>
      <c r="T7">
        <v>285.27959697733002</v>
      </c>
      <c r="U7" s="6">
        <f t="shared" si="3"/>
        <v>-0.44357914812460275</v>
      </c>
    </row>
    <row r="8" spans="1:21" ht="15.75" x14ac:dyDescent="0.25">
      <c r="A8" t="s">
        <v>21</v>
      </c>
      <c r="B8" t="s">
        <v>334</v>
      </c>
      <c r="C8" t="s">
        <v>333</v>
      </c>
      <c r="D8" t="s">
        <v>332</v>
      </c>
      <c r="E8" s="8" t="s">
        <v>239</v>
      </c>
      <c r="F8" s="10" t="s">
        <v>23</v>
      </c>
      <c r="G8" s="12" t="s">
        <v>97</v>
      </c>
      <c r="I8" s="12" t="s">
        <v>97</v>
      </c>
      <c r="J8" s="11" t="s">
        <v>193</v>
      </c>
      <c r="K8" s="19" t="s">
        <v>225</v>
      </c>
      <c r="L8" s="22">
        <v>35.01</v>
      </c>
      <c r="M8" s="26">
        <v>35.01</v>
      </c>
      <c r="N8" s="27">
        <f t="shared" si="0"/>
        <v>35.01</v>
      </c>
      <c r="O8" s="27">
        <f t="shared" si="1"/>
        <v>35.01</v>
      </c>
      <c r="P8" s="6">
        <f t="shared" si="2"/>
        <v>0</v>
      </c>
      <c r="Q8" s="31">
        <v>31.508999999999997</v>
      </c>
      <c r="R8" s="29">
        <v>31.747103274559191</v>
      </c>
      <c r="S8" s="7">
        <v>31.508999999999997</v>
      </c>
      <c r="T8">
        <v>31.747103274559191</v>
      </c>
      <c r="U8" s="6">
        <f t="shared" si="3"/>
        <v>0</v>
      </c>
    </row>
    <row r="9" spans="1:21" ht="15.75" x14ac:dyDescent="0.25">
      <c r="A9" t="s">
        <v>21</v>
      </c>
      <c r="B9" t="s">
        <v>334</v>
      </c>
      <c r="C9" t="s">
        <v>333</v>
      </c>
      <c r="D9" t="s">
        <v>332</v>
      </c>
      <c r="E9" s="8" t="s">
        <v>240</v>
      </c>
      <c r="F9" s="10" t="s">
        <v>23</v>
      </c>
      <c r="G9" s="12" t="s">
        <v>98</v>
      </c>
      <c r="I9" s="12" t="s">
        <v>98</v>
      </c>
      <c r="J9" s="11" t="s">
        <v>194</v>
      </c>
      <c r="K9" s="19" t="s">
        <v>225</v>
      </c>
      <c r="L9" s="22">
        <v>43.35</v>
      </c>
      <c r="M9" s="26">
        <v>43.35</v>
      </c>
      <c r="N9" s="27">
        <f t="shared" si="0"/>
        <v>43.35</v>
      </c>
      <c r="O9" s="27">
        <f t="shared" si="1"/>
        <v>43.35</v>
      </c>
      <c r="P9" s="6">
        <f t="shared" si="2"/>
        <v>0</v>
      </c>
      <c r="Q9" s="31">
        <v>39.015000000000001</v>
      </c>
      <c r="R9" s="29">
        <v>39.309823677581861</v>
      </c>
      <c r="S9" s="7">
        <v>39.015000000000001</v>
      </c>
      <c r="T9">
        <v>39.309823677581861</v>
      </c>
      <c r="U9" s="6">
        <f t="shared" si="3"/>
        <v>0</v>
      </c>
    </row>
    <row r="10" spans="1:21" ht="15.75" x14ac:dyDescent="0.25">
      <c r="A10" t="s">
        <v>21</v>
      </c>
      <c r="B10" t="s">
        <v>334</v>
      </c>
      <c r="C10" t="s">
        <v>333</v>
      </c>
      <c r="D10" t="s">
        <v>332</v>
      </c>
      <c r="E10" s="8" t="s">
        <v>241</v>
      </c>
      <c r="F10" s="10" t="s">
        <v>23</v>
      </c>
      <c r="G10" s="12" t="s">
        <v>99</v>
      </c>
      <c r="I10" s="12" t="s">
        <v>99</v>
      </c>
      <c r="J10" s="13" t="s">
        <v>195</v>
      </c>
      <c r="K10" s="19" t="s">
        <v>225</v>
      </c>
      <c r="L10" s="22">
        <v>936</v>
      </c>
      <c r="M10" s="26">
        <v>936</v>
      </c>
      <c r="N10" s="27">
        <f t="shared" si="0"/>
        <v>936</v>
      </c>
      <c r="O10" s="27">
        <f t="shared" si="1"/>
        <v>936</v>
      </c>
      <c r="P10" s="6">
        <f t="shared" si="2"/>
        <v>0</v>
      </c>
      <c r="Q10" s="31">
        <v>842.4</v>
      </c>
      <c r="R10" s="29">
        <v>848.76574307304782</v>
      </c>
      <c r="S10" s="7">
        <v>842.4</v>
      </c>
      <c r="T10">
        <v>848.76574307304782</v>
      </c>
      <c r="U10" s="6">
        <f t="shared" si="3"/>
        <v>0</v>
      </c>
    </row>
    <row r="11" spans="1:21" ht="15.75" x14ac:dyDescent="0.25">
      <c r="A11" t="s">
        <v>21</v>
      </c>
      <c r="B11" t="s">
        <v>334</v>
      </c>
      <c r="C11" t="s">
        <v>333</v>
      </c>
      <c r="D11" t="s">
        <v>332</v>
      </c>
      <c r="E11" s="8" t="s">
        <v>242</v>
      </c>
      <c r="F11" s="10" t="s">
        <v>23</v>
      </c>
      <c r="G11" s="11" t="s">
        <v>37</v>
      </c>
      <c r="I11" s="11" t="s">
        <v>37</v>
      </c>
      <c r="J11" s="11" t="s">
        <v>132</v>
      </c>
      <c r="K11" s="19" t="s">
        <v>225</v>
      </c>
      <c r="L11" s="22">
        <v>820.92</v>
      </c>
      <c r="M11" s="26">
        <v>1005.4</v>
      </c>
      <c r="N11" s="27">
        <f t="shared" si="0"/>
        <v>820.92</v>
      </c>
      <c r="O11" s="27">
        <f t="shared" si="1"/>
        <v>1005.4</v>
      </c>
      <c r="P11" s="6">
        <f t="shared" si="2"/>
        <v>0.18348915854386316</v>
      </c>
      <c r="Q11" s="31">
        <v>738.82799999999997</v>
      </c>
      <c r="R11" s="29">
        <v>744.41108312342567</v>
      </c>
      <c r="S11" s="7">
        <v>904.86</v>
      </c>
      <c r="T11">
        <v>911.69773299748113</v>
      </c>
      <c r="U11" s="6">
        <f t="shared" si="3"/>
        <v>-0.18348915854386316</v>
      </c>
    </row>
    <row r="12" spans="1:21" ht="15.75" x14ac:dyDescent="0.25">
      <c r="A12" t="s">
        <v>21</v>
      </c>
      <c r="B12" t="s">
        <v>334</v>
      </c>
      <c r="C12" t="s">
        <v>333</v>
      </c>
      <c r="D12" t="s">
        <v>332</v>
      </c>
      <c r="E12" s="8" t="s">
        <v>243</v>
      </c>
      <c r="F12" s="10" t="s">
        <v>23</v>
      </c>
      <c r="G12" s="11" t="s">
        <v>36</v>
      </c>
      <c r="I12" s="11" t="s">
        <v>36</v>
      </c>
      <c r="J12" s="11" t="s">
        <v>131</v>
      </c>
      <c r="K12" s="19" t="s">
        <v>225</v>
      </c>
      <c r="L12" s="22">
        <v>346</v>
      </c>
      <c r="M12" s="26">
        <v>541.20000000000005</v>
      </c>
      <c r="N12" s="27">
        <f t="shared" si="0"/>
        <v>346</v>
      </c>
      <c r="O12" s="27">
        <f t="shared" si="1"/>
        <v>541.20000000000005</v>
      </c>
      <c r="P12" s="6">
        <f t="shared" si="2"/>
        <v>0.36067997043606803</v>
      </c>
      <c r="Q12" s="31">
        <v>311.39999999999998</v>
      </c>
      <c r="R12" s="29">
        <v>313.75314861460953</v>
      </c>
      <c r="S12" s="7">
        <v>487.08000000000004</v>
      </c>
      <c r="T12">
        <v>490.76070528967256</v>
      </c>
      <c r="U12" s="6">
        <f t="shared" si="3"/>
        <v>-0.36067997043606814</v>
      </c>
    </row>
    <row r="13" spans="1:21" ht="15.75" x14ac:dyDescent="0.25">
      <c r="A13" t="s">
        <v>21</v>
      </c>
      <c r="B13" t="s">
        <v>334</v>
      </c>
      <c r="C13" t="s">
        <v>333</v>
      </c>
      <c r="D13" t="s">
        <v>332</v>
      </c>
      <c r="E13" s="8" t="s">
        <v>244</v>
      </c>
      <c r="F13" s="10" t="s">
        <v>23</v>
      </c>
      <c r="G13" s="11" t="s">
        <v>35</v>
      </c>
      <c r="I13" s="11" t="s">
        <v>35</v>
      </c>
      <c r="J13" s="11" t="s">
        <v>130</v>
      </c>
      <c r="K13" s="19" t="s">
        <v>225</v>
      </c>
      <c r="L13" s="22">
        <v>282</v>
      </c>
      <c r="M13" s="26">
        <v>499.97</v>
      </c>
      <c r="N13" s="27">
        <f t="shared" si="0"/>
        <v>282</v>
      </c>
      <c r="O13" s="27">
        <f t="shared" si="1"/>
        <v>499.97</v>
      </c>
      <c r="P13" s="6">
        <f t="shared" si="2"/>
        <v>0.43596615796947819</v>
      </c>
      <c r="Q13" s="31">
        <v>253.8</v>
      </c>
      <c r="R13" s="29">
        <v>255.71788413098236</v>
      </c>
      <c r="S13" s="7">
        <v>449.97300000000001</v>
      </c>
      <c r="T13">
        <v>453.37329974811081</v>
      </c>
      <c r="U13" s="6">
        <f t="shared" si="3"/>
        <v>-0.43596615796947813</v>
      </c>
    </row>
    <row r="14" spans="1:21" ht="15.75" x14ac:dyDescent="0.25">
      <c r="A14" t="s">
        <v>21</v>
      </c>
      <c r="B14" t="s">
        <v>334</v>
      </c>
      <c r="C14" t="s">
        <v>333</v>
      </c>
      <c r="D14" t="s">
        <v>332</v>
      </c>
      <c r="E14" s="8" t="s">
        <v>245</v>
      </c>
      <c r="F14" s="10" t="s">
        <v>23</v>
      </c>
      <c r="G14" s="12" t="s">
        <v>100</v>
      </c>
      <c r="I14" s="12" t="s">
        <v>100</v>
      </c>
      <c r="J14" s="11" t="s">
        <v>196</v>
      </c>
      <c r="K14" s="19" t="s">
        <v>225</v>
      </c>
      <c r="L14" s="22">
        <v>212.8</v>
      </c>
      <c r="M14" s="26">
        <v>212.8</v>
      </c>
      <c r="N14" s="27">
        <f t="shared" si="0"/>
        <v>212.8</v>
      </c>
      <c r="O14" s="27">
        <f t="shared" si="1"/>
        <v>212.8</v>
      </c>
      <c r="P14" s="6">
        <f t="shared" si="2"/>
        <v>0</v>
      </c>
      <c r="Q14" s="31">
        <v>191.52</v>
      </c>
      <c r="R14" s="29">
        <v>192.96725440806046</v>
      </c>
      <c r="S14" s="7">
        <v>191.52</v>
      </c>
      <c r="T14">
        <v>192.96725440806046</v>
      </c>
      <c r="U14" s="6">
        <f t="shared" si="3"/>
        <v>0</v>
      </c>
    </row>
    <row r="15" spans="1:21" ht="15.75" x14ac:dyDescent="0.25">
      <c r="A15" t="s">
        <v>21</v>
      </c>
      <c r="B15" t="s">
        <v>334</v>
      </c>
      <c r="C15" t="s">
        <v>333</v>
      </c>
      <c r="D15" t="s">
        <v>332</v>
      </c>
      <c r="E15" s="8" t="s">
        <v>246</v>
      </c>
      <c r="F15" s="10" t="s">
        <v>23</v>
      </c>
      <c r="G15" s="11" t="s">
        <v>67</v>
      </c>
      <c r="I15" s="11" t="s">
        <v>67</v>
      </c>
      <c r="J15" s="11" t="s">
        <v>162</v>
      </c>
      <c r="K15" s="19" t="s">
        <v>225</v>
      </c>
      <c r="L15" s="22">
        <v>62.78</v>
      </c>
      <c r="M15" s="26">
        <v>79.2</v>
      </c>
      <c r="N15" s="27">
        <f t="shared" si="0"/>
        <v>62.78</v>
      </c>
      <c r="O15" s="27">
        <f t="shared" si="1"/>
        <v>79.2</v>
      </c>
      <c r="P15" s="6">
        <f t="shared" si="2"/>
        <v>0.20732323232323233</v>
      </c>
      <c r="Q15" s="31">
        <v>56.502000000000002</v>
      </c>
      <c r="R15" s="29">
        <v>56.928967254408057</v>
      </c>
      <c r="S15" s="7">
        <v>71.28</v>
      </c>
      <c r="T15">
        <v>71.818639798488661</v>
      </c>
      <c r="U15" s="6">
        <f t="shared" si="3"/>
        <v>-0.20732323232323235</v>
      </c>
    </row>
    <row r="16" spans="1:21" ht="15.75" x14ac:dyDescent="0.25">
      <c r="A16" t="s">
        <v>21</v>
      </c>
      <c r="B16" t="s">
        <v>334</v>
      </c>
      <c r="C16" t="s">
        <v>333</v>
      </c>
      <c r="D16" t="s">
        <v>332</v>
      </c>
      <c r="E16" s="8" t="s">
        <v>247</v>
      </c>
      <c r="F16" s="10" t="s">
        <v>23</v>
      </c>
      <c r="G16" s="12" t="s">
        <v>101</v>
      </c>
      <c r="I16" s="12" t="s">
        <v>101</v>
      </c>
      <c r="J16" s="11" t="s">
        <v>197</v>
      </c>
      <c r="K16" s="19" t="s">
        <v>225</v>
      </c>
      <c r="L16" s="22">
        <v>46.05</v>
      </c>
      <c r="M16" s="26">
        <v>46.05</v>
      </c>
      <c r="N16" s="27">
        <f t="shared" si="0"/>
        <v>46.05</v>
      </c>
      <c r="O16" s="27">
        <f t="shared" si="1"/>
        <v>46.05</v>
      </c>
      <c r="P16" s="6">
        <f t="shared" si="2"/>
        <v>0</v>
      </c>
      <c r="Q16" s="31">
        <v>41.445</v>
      </c>
      <c r="R16" s="29">
        <v>41.758186397984886</v>
      </c>
      <c r="S16" s="7">
        <v>41.445</v>
      </c>
      <c r="T16">
        <v>41.758186397984886</v>
      </c>
      <c r="U16" s="6">
        <f t="shared" si="3"/>
        <v>0</v>
      </c>
    </row>
    <row r="17" spans="1:21" ht="15.75" x14ac:dyDescent="0.25">
      <c r="A17" t="s">
        <v>21</v>
      </c>
      <c r="B17" t="s">
        <v>334</v>
      </c>
      <c r="C17" t="s">
        <v>333</v>
      </c>
      <c r="D17" t="s">
        <v>332</v>
      </c>
      <c r="E17" s="8" t="s">
        <v>248</v>
      </c>
      <c r="F17" s="10" t="s">
        <v>23</v>
      </c>
      <c r="G17" s="11" t="s">
        <v>77</v>
      </c>
      <c r="I17" s="11" t="s">
        <v>77</v>
      </c>
      <c r="J17" s="11" t="s">
        <v>172</v>
      </c>
      <c r="K17" s="19" t="s">
        <v>225</v>
      </c>
      <c r="L17" s="22">
        <v>43.76</v>
      </c>
      <c r="M17" s="26">
        <v>50.6</v>
      </c>
      <c r="N17" s="27">
        <f t="shared" si="0"/>
        <v>43.76</v>
      </c>
      <c r="O17" s="27">
        <f t="shared" si="1"/>
        <v>50.6</v>
      </c>
      <c r="P17" s="6">
        <f t="shared" si="2"/>
        <v>0.13517786561264827</v>
      </c>
      <c r="Q17" s="31">
        <v>39.384</v>
      </c>
      <c r="R17" s="29">
        <v>39.681612090680098</v>
      </c>
      <c r="S17" s="7">
        <v>45.54</v>
      </c>
      <c r="T17">
        <v>45.884130982367758</v>
      </c>
      <c r="U17" s="6">
        <f t="shared" si="3"/>
        <v>-0.13517786561264822</v>
      </c>
    </row>
    <row r="18" spans="1:21" ht="15.75" x14ac:dyDescent="0.25">
      <c r="A18" t="s">
        <v>21</v>
      </c>
      <c r="B18" t="s">
        <v>334</v>
      </c>
      <c r="C18" t="s">
        <v>333</v>
      </c>
      <c r="D18" t="s">
        <v>332</v>
      </c>
      <c r="E18" s="8" t="s">
        <v>249</v>
      </c>
      <c r="F18" s="10" t="s">
        <v>23</v>
      </c>
      <c r="G18" s="11" t="s">
        <v>62</v>
      </c>
      <c r="I18" s="11" t="s">
        <v>62</v>
      </c>
      <c r="J18" s="11" t="s">
        <v>157</v>
      </c>
      <c r="K18" s="19" t="s">
        <v>225</v>
      </c>
      <c r="L18" s="22">
        <v>18.37</v>
      </c>
      <c r="M18" s="26">
        <v>41.47</v>
      </c>
      <c r="N18" s="27">
        <f t="shared" si="0"/>
        <v>18.37</v>
      </c>
      <c r="O18" s="27">
        <f t="shared" si="1"/>
        <v>41.47</v>
      </c>
      <c r="P18" s="6">
        <f t="shared" si="2"/>
        <v>0.55702917771883287</v>
      </c>
      <c r="Q18" s="31">
        <v>16.533000000000001</v>
      </c>
      <c r="R18" s="29">
        <v>16.657934508816123</v>
      </c>
      <c r="S18" s="7">
        <v>37.323</v>
      </c>
      <c r="T18">
        <v>37.605037783375316</v>
      </c>
      <c r="U18" s="6">
        <f t="shared" si="3"/>
        <v>-0.55702917771883287</v>
      </c>
    </row>
    <row r="19" spans="1:21" ht="15.75" x14ac:dyDescent="0.25">
      <c r="A19" t="s">
        <v>21</v>
      </c>
      <c r="B19" t="s">
        <v>334</v>
      </c>
      <c r="C19" t="s">
        <v>333</v>
      </c>
      <c r="D19" t="s">
        <v>332</v>
      </c>
      <c r="E19" s="8" t="s">
        <v>250</v>
      </c>
      <c r="F19" s="10" t="s">
        <v>23</v>
      </c>
      <c r="G19" s="11" t="s">
        <v>88</v>
      </c>
      <c r="I19" s="11" t="s">
        <v>88</v>
      </c>
      <c r="J19" s="11" t="s">
        <v>182</v>
      </c>
      <c r="K19" s="19" t="s">
        <v>225</v>
      </c>
      <c r="L19" s="22">
        <v>10.95</v>
      </c>
      <c r="M19" s="26">
        <v>12.76</v>
      </c>
      <c r="N19" s="27">
        <f t="shared" si="0"/>
        <v>10.95</v>
      </c>
      <c r="O19" s="27">
        <f t="shared" si="1"/>
        <v>12.76</v>
      </c>
      <c r="P19" s="6">
        <f t="shared" si="2"/>
        <v>0.14184952978056431</v>
      </c>
      <c r="Q19" s="31">
        <v>9.8549999999999986</v>
      </c>
      <c r="R19" s="29">
        <v>9.9294710327455906</v>
      </c>
      <c r="S19" s="7">
        <v>11.484</v>
      </c>
      <c r="T19">
        <v>11.570780856423173</v>
      </c>
      <c r="U19" s="6">
        <f t="shared" si="3"/>
        <v>-0.14184952978056442</v>
      </c>
    </row>
    <row r="20" spans="1:21" ht="15.75" x14ac:dyDescent="0.25">
      <c r="A20" t="s">
        <v>21</v>
      </c>
      <c r="B20" t="s">
        <v>334</v>
      </c>
      <c r="C20" t="s">
        <v>333</v>
      </c>
      <c r="D20" t="s">
        <v>332</v>
      </c>
      <c r="E20" s="8" t="s">
        <v>251</v>
      </c>
      <c r="F20" s="10" t="s">
        <v>26</v>
      </c>
      <c r="G20" s="11" t="s">
        <v>46</v>
      </c>
      <c r="I20" s="11" t="s">
        <v>46</v>
      </c>
      <c r="J20" s="11" t="s">
        <v>141</v>
      </c>
      <c r="K20" s="19" t="s">
        <v>227</v>
      </c>
      <c r="L20" s="23">
        <v>318</v>
      </c>
      <c r="M20" s="25">
        <v>385</v>
      </c>
      <c r="N20" s="27">
        <f t="shared" si="0"/>
        <v>318</v>
      </c>
      <c r="O20" s="27">
        <f t="shared" si="1"/>
        <v>385</v>
      </c>
      <c r="P20" s="6">
        <f t="shared" si="2"/>
        <v>0.17402597402597403</v>
      </c>
      <c r="Q20" s="31">
        <v>286.2</v>
      </c>
      <c r="R20" s="28">
        <v>288.36272040302265</v>
      </c>
      <c r="S20" s="7">
        <v>346.5</v>
      </c>
      <c r="T20">
        <v>349.11838790931989</v>
      </c>
      <c r="U20" s="6">
        <f t="shared" si="3"/>
        <v>-0.17402597402597408</v>
      </c>
    </row>
    <row r="21" spans="1:21" ht="15.75" x14ac:dyDescent="0.25">
      <c r="A21" t="s">
        <v>21</v>
      </c>
      <c r="B21" t="s">
        <v>334</v>
      </c>
      <c r="C21" t="s">
        <v>333</v>
      </c>
      <c r="D21" t="s">
        <v>332</v>
      </c>
      <c r="E21" s="8" t="s">
        <v>252</v>
      </c>
      <c r="F21" s="10" t="s">
        <v>26</v>
      </c>
      <c r="G21" s="11" t="s">
        <v>48</v>
      </c>
      <c r="I21" s="11" t="s">
        <v>48</v>
      </c>
      <c r="J21" s="11" t="s">
        <v>143</v>
      </c>
      <c r="K21" s="19" t="s">
        <v>227</v>
      </c>
      <c r="L21" s="23">
        <v>94</v>
      </c>
      <c r="M21" s="25">
        <v>157.61000000000001</v>
      </c>
      <c r="N21" s="27">
        <f t="shared" si="0"/>
        <v>94</v>
      </c>
      <c r="O21" s="27">
        <f t="shared" si="1"/>
        <v>157.61000000000001</v>
      </c>
      <c r="P21" s="6">
        <f t="shared" si="2"/>
        <v>0.40359114269399154</v>
      </c>
      <c r="Q21" s="31">
        <v>84.6</v>
      </c>
      <c r="R21" s="28">
        <v>85.239294710327442</v>
      </c>
      <c r="S21" s="7">
        <v>141.84900000000002</v>
      </c>
      <c r="T21">
        <v>142.92090680100756</v>
      </c>
      <c r="U21" s="6">
        <f t="shared" si="3"/>
        <v>-0.40359114269399166</v>
      </c>
    </row>
    <row r="22" spans="1:21" ht="15.75" x14ac:dyDescent="0.25">
      <c r="A22" t="s">
        <v>21</v>
      </c>
      <c r="B22" t="s">
        <v>334</v>
      </c>
      <c r="C22" t="s">
        <v>333</v>
      </c>
      <c r="D22" t="s">
        <v>332</v>
      </c>
      <c r="E22" s="8" t="s">
        <v>253</v>
      </c>
      <c r="F22" s="10" t="s">
        <v>26</v>
      </c>
      <c r="G22" s="11" t="s">
        <v>44</v>
      </c>
      <c r="I22" s="11" t="s">
        <v>44</v>
      </c>
      <c r="J22" s="11" t="s">
        <v>139</v>
      </c>
      <c r="K22" s="19" t="s">
        <v>227</v>
      </c>
      <c r="L22" s="23">
        <v>73.900000000000006</v>
      </c>
      <c r="M22" s="25">
        <v>153.97999999999999</v>
      </c>
      <c r="N22" s="27">
        <f t="shared" si="0"/>
        <v>73.900000000000006</v>
      </c>
      <c r="O22" s="27">
        <f t="shared" si="1"/>
        <v>153.97999999999999</v>
      </c>
      <c r="P22" s="6">
        <f t="shared" si="2"/>
        <v>0.52006754123912191</v>
      </c>
      <c r="Q22" s="31">
        <v>66.510000000000005</v>
      </c>
      <c r="R22" s="28">
        <v>67.012594458438286</v>
      </c>
      <c r="S22" s="7">
        <v>138.58199999999999</v>
      </c>
      <c r="T22">
        <v>139.62921914357682</v>
      </c>
      <c r="U22" s="6">
        <f t="shared" si="3"/>
        <v>-0.52006754123912191</v>
      </c>
    </row>
    <row r="23" spans="1:21" ht="15.75" x14ac:dyDescent="0.25">
      <c r="A23" t="s">
        <v>21</v>
      </c>
      <c r="B23" t="s">
        <v>334</v>
      </c>
      <c r="C23" t="s">
        <v>333</v>
      </c>
      <c r="D23" t="s">
        <v>332</v>
      </c>
      <c r="E23" s="8" t="s">
        <v>254</v>
      </c>
      <c r="F23" s="10" t="s">
        <v>26</v>
      </c>
      <c r="G23" s="11" t="s">
        <v>78</v>
      </c>
      <c r="I23" s="11" t="s">
        <v>78</v>
      </c>
      <c r="J23" s="11" t="s">
        <v>173</v>
      </c>
      <c r="K23" s="19" t="s">
        <v>228</v>
      </c>
      <c r="L23" s="22">
        <v>36.700000000000003</v>
      </c>
      <c r="M23" s="26">
        <v>41.78</v>
      </c>
      <c r="N23" s="27">
        <f t="shared" si="0"/>
        <v>36.700000000000003</v>
      </c>
      <c r="O23" s="27">
        <f t="shared" si="1"/>
        <v>41.78</v>
      </c>
      <c r="P23" s="6">
        <f t="shared" si="2"/>
        <v>0.12158927716610814</v>
      </c>
      <c r="Q23" s="31">
        <v>33.03</v>
      </c>
      <c r="R23" s="30">
        <v>33.279596977329973</v>
      </c>
      <c r="S23" s="7">
        <v>37.602000000000004</v>
      </c>
      <c r="T23">
        <v>37.886146095717883</v>
      </c>
      <c r="U23" s="6">
        <f t="shared" si="3"/>
        <v>-0.12158927716610823</v>
      </c>
    </row>
    <row r="24" spans="1:21" ht="15.75" x14ac:dyDescent="0.25">
      <c r="A24" t="s">
        <v>21</v>
      </c>
      <c r="B24" t="s">
        <v>334</v>
      </c>
      <c r="C24" t="s">
        <v>333</v>
      </c>
      <c r="D24" t="s">
        <v>332</v>
      </c>
      <c r="E24" s="8" t="s">
        <v>255</v>
      </c>
      <c r="F24" s="10" t="s">
        <v>26</v>
      </c>
      <c r="G24" s="11" t="s">
        <v>79</v>
      </c>
      <c r="I24" s="11" t="s">
        <v>79</v>
      </c>
      <c r="J24" s="11" t="s">
        <v>173</v>
      </c>
      <c r="K24" s="19" t="s">
        <v>228</v>
      </c>
      <c r="L24" s="22">
        <v>36.700000000000003</v>
      </c>
      <c r="M24" s="26">
        <v>41.78</v>
      </c>
      <c r="N24" s="27">
        <f t="shared" si="0"/>
        <v>36.700000000000003</v>
      </c>
      <c r="O24" s="27">
        <f t="shared" si="1"/>
        <v>41.78</v>
      </c>
      <c r="P24" s="6">
        <f t="shared" si="2"/>
        <v>0.12158927716610814</v>
      </c>
      <c r="Q24" s="31">
        <v>33.03</v>
      </c>
      <c r="R24" s="30">
        <v>33.279596977329973</v>
      </c>
      <c r="S24" s="7">
        <v>37.602000000000004</v>
      </c>
      <c r="T24">
        <v>37.886146095717883</v>
      </c>
      <c r="U24" s="6">
        <f t="shared" si="3"/>
        <v>-0.12158927716610823</v>
      </c>
    </row>
    <row r="25" spans="1:21" ht="15.75" x14ac:dyDescent="0.25">
      <c r="A25" t="s">
        <v>21</v>
      </c>
      <c r="B25" t="s">
        <v>334</v>
      </c>
      <c r="C25" t="s">
        <v>333</v>
      </c>
      <c r="D25" t="s">
        <v>332</v>
      </c>
      <c r="E25" s="8" t="s">
        <v>256</v>
      </c>
      <c r="F25" s="10" t="s">
        <v>26</v>
      </c>
      <c r="G25" s="11" t="s">
        <v>81</v>
      </c>
      <c r="I25" s="11" t="s">
        <v>81</v>
      </c>
      <c r="J25" s="11" t="s">
        <v>187</v>
      </c>
      <c r="K25" s="19" t="s">
        <v>226</v>
      </c>
      <c r="L25" s="22">
        <v>11.28</v>
      </c>
      <c r="M25" s="26">
        <v>11.77</v>
      </c>
      <c r="N25" s="27">
        <f t="shared" si="0"/>
        <v>11.28</v>
      </c>
      <c r="O25" s="27">
        <f t="shared" si="1"/>
        <v>11.77</v>
      </c>
      <c r="P25" s="6">
        <f t="shared" si="2"/>
        <v>4.1631265930331368E-2</v>
      </c>
      <c r="Q25" s="31">
        <v>10.151999999999999</v>
      </c>
      <c r="R25" s="30">
        <v>10.228715365239294</v>
      </c>
      <c r="S25" s="7">
        <v>10.593</v>
      </c>
      <c r="T25">
        <v>10.673047858942065</v>
      </c>
      <c r="U25" s="6">
        <f t="shared" si="3"/>
        <v>-4.1631265930331396E-2</v>
      </c>
    </row>
    <row r="26" spans="1:21" ht="15.75" x14ac:dyDescent="0.25">
      <c r="A26" t="s">
        <v>21</v>
      </c>
      <c r="B26" t="s">
        <v>334</v>
      </c>
      <c r="C26" t="s">
        <v>333</v>
      </c>
      <c r="D26" t="s">
        <v>332</v>
      </c>
      <c r="E26" s="8" t="s">
        <v>257</v>
      </c>
      <c r="F26" s="10" t="s">
        <v>29</v>
      </c>
      <c r="G26" s="11" t="s">
        <v>75</v>
      </c>
      <c r="I26" s="11" t="s">
        <v>75</v>
      </c>
      <c r="J26" s="11" t="s">
        <v>170</v>
      </c>
      <c r="K26" s="19" t="s">
        <v>228</v>
      </c>
      <c r="L26" s="22">
        <v>122</v>
      </c>
      <c r="M26" s="26">
        <v>130.53</v>
      </c>
      <c r="N26" s="27">
        <f t="shared" si="0"/>
        <v>122</v>
      </c>
      <c r="O26" s="27">
        <f t="shared" si="1"/>
        <v>130.53</v>
      </c>
      <c r="P26" s="6">
        <f t="shared" si="2"/>
        <v>6.5348961924461824E-2</v>
      </c>
      <c r="Q26" s="31">
        <v>109.8</v>
      </c>
      <c r="R26" s="30">
        <v>110.62972292191435</v>
      </c>
      <c r="S26" s="7">
        <v>117.477</v>
      </c>
      <c r="T26">
        <v>118.36473551637279</v>
      </c>
      <c r="U26" s="6">
        <f t="shared" si="3"/>
        <v>-6.5348961924461824E-2</v>
      </c>
    </row>
    <row r="27" spans="1:21" ht="15.75" x14ac:dyDescent="0.25">
      <c r="A27" t="s">
        <v>21</v>
      </c>
      <c r="B27" t="s">
        <v>334</v>
      </c>
      <c r="C27" t="s">
        <v>333</v>
      </c>
      <c r="D27" t="s">
        <v>332</v>
      </c>
      <c r="E27" s="8" t="s">
        <v>258</v>
      </c>
      <c r="F27" s="10" t="s">
        <v>31</v>
      </c>
      <c r="G27" s="12" t="s">
        <v>102</v>
      </c>
      <c r="I27" s="12" t="s">
        <v>102</v>
      </c>
      <c r="J27" s="11" t="s">
        <v>198</v>
      </c>
      <c r="K27" s="19" t="s">
        <v>225</v>
      </c>
      <c r="L27" s="22">
        <v>317</v>
      </c>
      <c r="M27" s="26">
        <v>317</v>
      </c>
      <c r="N27" s="27">
        <f t="shared" si="0"/>
        <v>317</v>
      </c>
      <c r="O27" s="27">
        <f t="shared" si="1"/>
        <v>317</v>
      </c>
      <c r="P27" s="6">
        <f t="shared" si="2"/>
        <v>0</v>
      </c>
      <c r="Q27" s="31">
        <v>285.3</v>
      </c>
      <c r="R27" s="29">
        <v>287.45591939546597</v>
      </c>
      <c r="S27" s="7">
        <v>285.3</v>
      </c>
      <c r="T27">
        <v>287.45591939546597</v>
      </c>
      <c r="U27" s="6">
        <f t="shared" si="3"/>
        <v>0</v>
      </c>
    </row>
    <row r="28" spans="1:21" ht="15.75" x14ac:dyDescent="0.25">
      <c r="A28" t="s">
        <v>21</v>
      </c>
      <c r="B28" t="s">
        <v>334</v>
      </c>
      <c r="C28" t="s">
        <v>333</v>
      </c>
      <c r="D28" t="s">
        <v>332</v>
      </c>
      <c r="E28" s="8" t="s">
        <v>259</v>
      </c>
      <c r="F28" s="10" t="s">
        <v>31</v>
      </c>
      <c r="G28" s="10" t="s">
        <v>103</v>
      </c>
      <c r="I28" s="10" t="s">
        <v>103</v>
      </c>
      <c r="J28" s="11" t="s">
        <v>199</v>
      </c>
      <c r="K28" s="19" t="s">
        <v>225</v>
      </c>
      <c r="L28" s="22">
        <v>176</v>
      </c>
      <c r="M28" s="26">
        <v>176</v>
      </c>
      <c r="N28" s="27">
        <f t="shared" si="0"/>
        <v>176</v>
      </c>
      <c r="O28" s="27">
        <f t="shared" si="1"/>
        <v>176</v>
      </c>
      <c r="P28" s="6">
        <f t="shared" si="2"/>
        <v>0</v>
      </c>
      <c r="Q28" s="31">
        <v>158.4</v>
      </c>
      <c r="R28" s="29">
        <v>159.59697732997481</v>
      </c>
      <c r="S28" s="7">
        <v>158.4</v>
      </c>
      <c r="T28">
        <v>159.59697732997481</v>
      </c>
      <c r="U28" s="6">
        <f t="shared" si="3"/>
        <v>0</v>
      </c>
    </row>
    <row r="29" spans="1:21" ht="15.75" x14ac:dyDescent="0.25">
      <c r="A29" t="s">
        <v>21</v>
      </c>
      <c r="B29" t="s">
        <v>334</v>
      </c>
      <c r="C29" t="s">
        <v>333</v>
      </c>
      <c r="D29" t="s">
        <v>332</v>
      </c>
      <c r="E29" s="8" t="s">
        <v>260</v>
      </c>
      <c r="F29" s="10" t="s">
        <v>31</v>
      </c>
      <c r="G29" s="14" t="s">
        <v>104</v>
      </c>
      <c r="I29" s="14" t="s">
        <v>104</v>
      </c>
      <c r="J29" s="11" t="s">
        <v>200</v>
      </c>
      <c r="K29" s="19" t="s">
        <v>229</v>
      </c>
      <c r="L29" s="22">
        <v>16.5</v>
      </c>
      <c r="M29" s="26">
        <v>16.5</v>
      </c>
      <c r="N29" s="27">
        <f t="shared" si="0"/>
        <v>16.5</v>
      </c>
      <c r="O29" s="27">
        <f t="shared" si="1"/>
        <v>16.5</v>
      </c>
      <c r="P29" s="6">
        <f t="shared" si="2"/>
        <v>0</v>
      </c>
      <c r="Q29" s="31">
        <v>14.85</v>
      </c>
      <c r="R29" s="29">
        <v>14.962216624685137</v>
      </c>
      <c r="S29" s="7">
        <v>14.85</v>
      </c>
      <c r="T29">
        <v>14.962216624685137</v>
      </c>
      <c r="U29" s="6">
        <f t="shared" si="3"/>
        <v>0</v>
      </c>
    </row>
    <row r="30" spans="1:21" ht="15.75" x14ac:dyDescent="0.25">
      <c r="A30" t="s">
        <v>21</v>
      </c>
      <c r="B30" t="s">
        <v>334</v>
      </c>
      <c r="C30" t="s">
        <v>333</v>
      </c>
      <c r="D30" t="s">
        <v>332</v>
      </c>
      <c r="E30" s="8" t="s">
        <v>261</v>
      </c>
      <c r="F30" s="10" t="s">
        <v>31</v>
      </c>
      <c r="G30" s="12" t="s">
        <v>105</v>
      </c>
      <c r="I30" s="12" t="s">
        <v>105</v>
      </c>
      <c r="J30" s="11" t="s">
        <v>201</v>
      </c>
      <c r="K30" s="19" t="s">
        <v>230</v>
      </c>
      <c r="L30" s="22">
        <v>11.18</v>
      </c>
      <c r="M30" s="26">
        <v>11.18</v>
      </c>
      <c r="N30" s="27">
        <f t="shared" si="0"/>
        <v>11.18</v>
      </c>
      <c r="O30" s="27">
        <f t="shared" si="1"/>
        <v>11.18</v>
      </c>
      <c r="P30" s="6">
        <f t="shared" si="2"/>
        <v>0</v>
      </c>
      <c r="Q30" s="31">
        <v>10.061999999999999</v>
      </c>
      <c r="R30" s="29">
        <v>10.138035264483626</v>
      </c>
      <c r="S30" s="7">
        <v>10.061999999999999</v>
      </c>
      <c r="T30">
        <v>10.138035264483626</v>
      </c>
      <c r="U30" s="6">
        <f t="shared" si="3"/>
        <v>0</v>
      </c>
    </row>
    <row r="31" spans="1:21" ht="15.75" x14ac:dyDescent="0.25">
      <c r="A31" t="s">
        <v>21</v>
      </c>
      <c r="B31" t="s">
        <v>334</v>
      </c>
      <c r="C31" t="s">
        <v>333</v>
      </c>
      <c r="D31" t="s">
        <v>332</v>
      </c>
      <c r="E31" s="8" t="s">
        <v>262</v>
      </c>
      <c r="F31" s="10" t="s">
        <v>29</v>
      </c>
      <c r="G31" s="12" t="s">
        <v>106</v>
      </c>
      <c r="I31" s="12" t="s">
        <v>106</v>
      </c>
      <c r="J31" s="12" t="s">
        <v>202</v>
      </c>
      <c r="K31" s="19" t="s">
        <v>225</v>
      </c>
      <c r="L31" s="24">
        <v>9.59</v>
      </c>
      <c r="M31" s="26">
        <v>9.59</v>
      </c>
      <c r="N31" s="27">
        <f t="shared" si="0"/>
        <v>9.59</v>
      </c>
      <c r="O31" s="27">
        <f t="shared" si="1"/>
        <v>9.59</v>
      </c>
      <c r="P31" s="6">
        <f t="shared" si="2"/>
        <v>0</v>
      </c>
      <c r="Q31" s="31">
        <v>8.6310000000000002</v>
      </c>
      <c r="R31" s="29">
        <v>8.6962216624685134</v>
      </c>
      <c r="S31" s="7">
        <v>8.6310000000000002</v>
      </c>
      <c r="T31">
        <v>8.6962216624685134</v>
      </c>
      <c r="U31" s="6">
        <f t="shared" si="3"/>
        <v>0</v>
      </c>
    </row>
    <row r="32" spans="1:21" ht="15.75" x14ac:dyDescent="0.25">
      <c r="A32" t="s">
        <v>21</v>
      </c>
      <c r="B32" t="s">
        <v>334</v>
      </c>
      <c r="C32" t="s">
        <v>333</v>
      </c>
      <c r="D32" t="s">
        <v>332</v>
      </c>
      <c r="E32" s="8" t="s">
        <v>263</v>
      </c>
      <c r="F32" s="10" t="s">
        <v>29</v>
      </c>
      <c r="G32" s="15" t="s">
        <v>107</v>
      </c>
      <c r="I32" s="15" t="s">
        <v>107</v>
      </c>
      <c r="J32" s="17" t="s">
        <v>203</v>
      </c>
      <c r="K32" s="19" t="s">
        <v>225</v>
      </c>
      <c r="L32" s="24">
        <v>8.11</v>
      </c>
      <c r="M32" s="26">
        <v>8.11</v>
      </c>
      <c r="N32" s="27">
        <f t="shared" si="0"/>
        <v>8.11</v>
      </c>
      <c r="O32" s="27">
        <f t="shared" si="1"/>
        <v>8.11</v>
      </c>
      <c r="P32" s="6">
        <f t="shared" si="2"/>
        <v>0</v>
      </c>
      <c r="Q32" s="31">
        <v>7.2989999999999995</v>
      </c>
      <c r="R32" s="29">
        <v>7.3541561712846342</v>
      </c>
      <c r="S32" s="7">
        <v>7.2989999999999995</v>
      </c>
      <c r="T32">
        <v>7.3541561712846342</v>
      </c>
      <c r="U32" s="6">
        <f t="shared" si="3"/>
        <v>0</v>
      </c>
    </row>
    <row r="33" spans="1:21" ht="15.75" x14ac:dyDescent="0.25">
      <c r="A33" t="s">
        <v>21</v>
      </c>
      <c r="B33" t="s">
        <v>334</v>
      </c>
      <c r="C33" t="s">
        <v>333</v>
      </c>
      <c r="D33" t="s">
        <v>332</v>
      </c>
      <c r="E33" s="8" t="s">
        <v>264</v>
      </c>
      <c r="F33" s="10" t="s">
        <v>29</v>
      </c>
      <c r="G33" s="12" t="s">
        <v>108</v>
      </c>
      <c r="I33" s="12" t="s">
        <v>108</v>
      </c>
      <c r="J33" s="11" t="s">
        <v>204</v>
      </c>
      <c r="K33" s="19" t="s">
        <v>230</v>
      </c>
      <c r="L33" s="22">
        <v>6.5</v>
      </c>
      <c r="M33" s="26">
        <v>6.5</v>
      </c>
      <c r="N33" s="27">
        <f t="shared" si="0"/>
        <v>6.5</v>
      </c>
      <c r="O33" s="27">
        <f t="shared" si="1"/>
        <v>6.5</v>
      </c>
      <c r="P33" s="6">
        <f t="shared" si="2"/>
        <v>0</v>
      </c>
      <c r="Q33" s="31">
        <v>5.85</v>
      </c>
      <c r="R33" s="29">
        <v>5.8942065491183868</v>
      </c>
      <c r="S33" s="7">
        <v>5.85</v>
      </c>
      <c r="T33">
        <v>5.8942065491183868</v>
      </c>
      <c r="U33" s="6">
        <f t="shared" si="3"/>
        <v>0</v>
      </c>
    </row>
    <row r="34" spans="1:21" ht="15.75" x14ac:dyDescent="0.25">
      <c r="A34" t="s">
        <v>21</v>
      </c>
      <c r="B34" t="s">
        <v>334</v>
      </c>
      <c r="C34" t="s">
        <v>333</v>
      </c>
      <c r="D34" t="s">
        <v>332</v>
      </c>
      <c r="E34" s="8" t="s">
        <v>265</v>
      </c>
      <c r="F34" s="10" t="s">
        <v>29</v>
      </c>
      <c r="G34" s="12" t="s">
        <v>56</v>
      </c>
      <c r="I34" s="12" t="s">
        <v>56</v>
      </c>
      <c r="J34" s="11" t="s">
        <v>151</v>
      </c>
      <c r="K34" s="19" t="s">
        <v>230</v>
      </c>
      <c r="L34" s="22">
        <v>6.2</v>
      </c>
      <c r="M34" s="26">
        <v>36.659999999999997</v>
      </c>
      <c r="N34" s="27">
        <f t="shared" si="0"/>
        <v>6.2</v>
      </c>
      <c r="O34" s="27">
        <f t="shared" si="1"/>
        <v>36.659999999999997</v>
      </c>
      <c r="P34" s="6">
        <f t="shared" si="2"/>
        <v>0.83087834151663942</v>
      </c>
      <c r="Q34" s="31">
        <v>5.58</v>
      </c>
      <c r="R34" s="29">
        <v>5.6221662468513856</v>
      </c>
      <c r="S34" s="7">
        <v>32.994</v>
      </c>
      <c r="T34">
        <v>33.243324937027708</v>
      </c>
      <c r="U34" s="6">
        <f t="shared" si="3"/>
        <v>-0.83087834151663942</v>
      </c>
    </row>
    <row r="35" spans="1:21" ht="15.75" x14ac:dyDescent="0.25">
      <c r="A35" t="s">
        <v>21</v>
      </c>
      <c r="B35" t="s">
        <v>334</v>
      </c>
      <c r="C35" t="s">
        <v>333</v>
      </c>
      <c r="D35" t="s">
        <v>332</v>
      </c>
      <c r="E35" s="8" t="s">
        <v>266</v>
      </c>
      <c r="F35" s="10" t="s">
        <v>29</v>
      </c>
      <c r="G35" s="12" t="s">
        <v>82</v>
      </c>
      <c r="I35" s="12" t="s">
        <v>82</v>
      </c>
      <c r="J35" s="11" t="s">
        <v>176</v>
      </c>
      <c r="K35" s="19" t="s">
        <v>230</v>
      </c>
      <c r="L35" s="22">
        <v>5.78</v>
      </c>
      <c r="M35" s="26">
        <v>8.67</v>
      </c>
      <c r="N35" s="27">
        <f t="shared" si="0"/>
        <v>5.78</v>
      </c>
      <c r="O35" s="27">
        <f t="shared" si="1"/>
        <v>8.67</v>
      </c>
      <c r="P35" s="6">
        <f t="shared" si="2"/>
        <v>0.33333333333333331</v>
      </c>
      <c r="Q35" s="31">
        <v>5.202</v>
      </c>
      <c r="R35" s="29">
        <v>5.2413098236775815</v>
      </c>
      <c r="S35" s="7">
        <v>7.8029999999999999</v>
      </c>
      <c r="T35">
        <v>7.8619647355163726</v>
      </c>
      <c r="U35" s="6">
        <f t="shared" si="3"/>
        <v>-0.33333333333333337</v>
      </c>
    </row>
    <row r="36" spans="1:21" ht="15.75" x14ac:dyDescent="0.25">
      <c r="A36" t="s">
        <v>21</v>
      </c>
      <c r="B36" t="s">
        <v>334</v>
      </c>
      <c r="C36" t="s">
        <v>333</v>
      </c>
      <c r="D36" t="s">
        <v>332</v>
      </c>
      <c r="E36" s="8" t="s">
        <v>267</v>
      </c>
      <c r="F36" s="10" t="s">
        <v>29</v>
      </c>
      <c r="G36" s="12" t="s">
        <v>109</v>
      </c>
      <c r="I36" s="12" t="s">
        <v>109</v>
      </c>
      <c r="J36" s="11" t="s">
        <v>205</v>
      </c>
      <c r="K36" s="19" t="s">
        <v>230</v>
      </c>
      <c r="L36" s="22">
        <v>5.43</v>
      </c>
      <c r="M36" s="26">
        <v>5.43</v>
      </c>
      <c r="N36" s="27">
        <f t="shared" si="0"/>
        <v>5.43</v>
      </c>
      <c r="O36" s="27">
        <f t="shared" si="1"/>
        <v>5.43</v>
      </c>
      <c r="P36" s="6">
        <f t="shared" si="2"/>
        <v>0</v>
      </c>
      <c r="Q36" s="31">
        <v>4.8869999999999996</v>
      </c>
      <c r="R36" s="29">
        <v>4.9239294710327446</v>
      </c>
      <c r="S36" s="7">
        <v>4.8869999999999996</v>
      </c>
      <c r="T36">
        <v>4.9239294710327446</v>
      </c>
      <c r="U36" s="6">
        <f t="shared" si="3"/>
        <v>0</v>
      </c>
    </row>
    <row r="37" spans="1:21" ht="15.75" x14ac:dyDescent="0.25">
      <c r="A37" t="s">
        <v>21</v>
      </c>
      <c r="B37" t="s">
        <v>334</v>
      </c>
      <c r="C37" t="s">
        <v>333</v>
      </c>
      <c r="D37" t="s">
        <v>332</v>
      </c>
      <c r="E37" s="8" t="s">
        <v>268</v>
      </c>
      <c r="F37" s="10" t="s">
        <v>29</v>
      </c>
      <c r="G37" s="12" t="s">
        <v>110</v>
      </c>
      <c r="I37" s="12" t="s">
        <v>110</v>
      </c>
      <c r="J37" s="11" t="s">
        <v>206</v>
      </c>
      <c r="K37" s="19" t="s">
        <v>230</v>
      </c>
      <c r="L37" s="22">
        <v>5.15</v>
      </c>
      <c r="M37" s="26">
        <v>5.15</v>
      </c>
      <c r="N37" s="27">
        <f t="shared" si="0"/>
        <v>5.15</v>
      </c>
      <c r="O37" s="27">
        <f t="shared" si="1"/>
        <v>5.15</v>
      </c>
      <c r="P37" s="6">
        <f t="shared" si="2"/>
        <v>0</v>
      </c>
      <c r="Q37" s="31">
        <v>4.6350000000000007</v>
      </c>
      <c r="R37" s="29">
        <v>4.6700251889168767</v>
      </c>
      <c r="S37" s="7">
        <v>4.6350000000000007</v>
      </c>
      <c r="T37">
        <v>4.6700251889168767</v>
      </c>
      <c r="U37" s="6">
        <f t="shared" si="3"/>
        <v>0</v>
      </c>
    </row>
    <row r="38" spans="1:21" ht="15.75" x14ac:dyDescent="0.25">
      <c r="A38" t="s">
        <v>21</v>
      </c>
      <c r="B38" t="s">
        <v>334</v>
      </c>
      <c r="C38" t="s">
        <v>333</v>
      </c>
      <c r="D38" t="s">
        <v>332</v>
      </c>
      <c r="E38" s="8" t="s">
        <v>269</v>
      </c>
      <c r="F38" s="10" t="s">
        <v>29</v>
      </c>
      <c r="G38" s="12" t="s">
        <v>83</v>
      </c>
      <c r="I38" s="12" t="s">
        <v>83</v>
      </c>
      <c r="J38" s="11" t="s">
        <v>177</v>
      </c>
      <c r="K38" s="19" t="s">
        <v>230</v>
      </c>
      <c r="L38" s="22">
        <v>4.62</v>
      </c>
      <c r="M38" s="26">
        <v>7.41</v>
      </c>
      <c r="N38" s="27">
        <f t="shared" si="0"/>
        <v>4.62</v>
      </c>
      <c r="O38" s="27">
        <f t="shared" si="1"/>
        <v>7.41</v>
      </c>
      <c r="P38" s="6">
        <f t="shared" si="2"/>
        <v>0.37651821862348178</v>
      </c>
      <c r="Q38" s="31">
        <v>4.1580000000000004</v>
      </c>
      <c r="R38" s="29">
        <v>4.1894206549118387</v>
      </c>
      <c r="S38" s="7">
        <v>6.6690000000000005</v>
      </c>
      <c r="T38">
        <v>6.7193954659949622</v>
      </c>
      <c r="U38" s="6">
        <f t="shared" si="3"/>
        <v>-0.37651821862348178</v>
      </c>
    </row>
    <row r="39" spans="1:21" ht="15.75" x14ac:dyDescent="0.25">
      <c r="A39" t="s">
        <v>21</v>
      </c>
      <c r="B39" t="s">
        <v>334</v>
      </c>
      <c r="C39" t="s">
        <v>333</v>
      </c>
      <c r="D39" t="s">
        <v>332</v>
      </c>
      <c r="E39" s="8" t="s">
        <v>270</v>
      </c>
      <c r="F39" s="10" t="s">
        <v>29</v>
      </c>
      <c r="G39" s="12" t="s">
        <v>84</v>
      </c>
      <c r="I39" s="12" t="s">
        <v>84</v>
      </c>
      <c r="J39" s="11" t="s">
        <v>207</v>
      </c>
      <c r="K39" s="19" t="s">
        <v>230</v>
      </c>
      <c r="L39" s="22">
        <v>4</v>
      </c>
      <c r="M39" s="26">
        <v>4</v>
      </c>
      <c r="N39" s="27">
        <f t="shared" si="0"/>
        <v>4</v>
      </c>
      <c r="O39" s="27">
        <f t="shared" si="1"/>
        <v>4</v>
      </c>
      <c r="P39" s="6">
        <f t="shared" si="2"/>
        <v>0</v>
      </c>
      <c r="Q39" s="31">
        <v>3.6</v>
      </c>
      <c r="R39" s="29">
        <v>3.6272040302267001</v>
      </c>
      <c r="S39" s="7">
        <v>3.6</v>
      </c>
      <c r="T39">
        <v>3.6272040302267001</v>
      </c>
      <c r="U39" s="6">
        <f t="shared" si="3"/>
        <v>0</v>
      </c>
    </row>
    <row r="40" spans="1:21" ht="15.75" x14ac:dyDescent="0.25">
      <c r="A40" t="s">
        <v>21</v>
      </c>
      <c r="B40" t="s">
        <v>334</v>
      </c>
      <c r="C40" t="s">
        <v>333</v>
      </c>
      <c r="D40" t="s">
        <v>332</v>
      </c>
      <c r="E40" s="8" t="s">
        <v>271</v>
      </c>
      <c r="F40" s="10" t="s">
        <v>29</v>
      </c>
      <c r="G40" s="12" t="s">
        <v>87</v>
      </c>
      <c r="I40" s="12" t="s">
        <v>87</v>
      </c>
      <c r="J40" s="11" t="s">
        <v>181</v>
      </c>
      <c r="K40" s="19" t="s">
        <v>230</v>
      </c>
      <c r="L40" s="22">
        <v>3.74</v>
      </c>
      <c r="M40" s="26">
        <v>5.59</v>
      </c>
      <c r="N40" s="27">
        <f t="shared" si="0"/>
        <v>3.74</v>
      </c>
      <c r="O40" s="27">
        <f t="shared" si="1"/>
        <v>5.59</v>
      </c>
      <c r="P40" s="6">
        <f t="shared" si="2"/>
        <v>0.33094812164579601</v>
      </c>
      <c r="Q40" s="31">
        <v>3.3660000000000001</v>
      </c>
      <c r="R40" s="29">
        <v>3.3914357682619647</v>
      </c>
      <c r="S40" s="7">
        <v>5.0309999999999997</v>
      </c>
      <c r="T40">
        <v>5.0690176322418132</v>
      </c>
      <c r="U40" s="6">
        <f t="shared" si="3"/>
        <v>-0.33094812164579601</v>
      </c>
    </row>
    <row r="41" spans="1:21" ht="15.75" x14ac:dyDescent="0.25">
      <c r="A41" t="s">
        <v>21</v>
      </c>
      <c r="B41" t="s">
        <v>334</v>
      </c>
      <c r="C41" t="s">
        <v>333</v>
      </c>
      <c r="D41" t="s">
        <v>332</v>
      </c>
      <c r="E41" s="8" t="s">
        <v>272</v>
      </c>
      <c r="F41" s="10" t="s">
        <v>29</v>
      </c>
      <c r="G41" s="12" t="s">
        <v>86</v>
      </c>
      <c r="I41" s="12" t="s">
        <v>86</v>
      </c>
      <c r="J41" s="11" t="s">
        <v>208</v>
      </c>
      <c r="K41" s="19" t="s">
        <v>230</v>
      </c>
      <c r="L41" s="22">
        <v>3.44</v>
      </c>
      <c r="M41" s="26">
        <v>3.44</v>
      </c>
      <c r="N41" s="27">
        <f t="shared" si="0"/>
        <v>3.44</v>
      </c>
      <c r="O41" s="27">
        <f t="shared" si="1"/>
        <v>3.44</v>
      </c>
      <c r="P41" s="6">
        <f t="shared" si="2"/>
        <v>0</v>
      </c>
      <c r="Q41" s="31">
        <v>3.0960000000000001</v>
      </c>
      <c r="R41" s="29">
        <v>3.1193954659949621</v>
      </c>
      <c r="S41" s="7">
        <v>3.0960000000000001</v>
      </c>
      <c r="T41">
        <v>3.1193954659949621</v>
      </c>
      <c r="U41" s="6">
        <f t="shared" si="3"/>
        <v>0</v>
      </c>
    </row>
    <row r="42" spans="1:21" ht="15.75" x14ac:dyDescent="0.25">
      <c r="A42" t="s">
        <v>21</v>
      </c>
      <c r="B42" t="s">
        <v>334</v>
      </c>
      <c r="C42" t="s">
        <v>333</v>
      </c>
      <c r="D42" t="s">
        <v>332</v>
      </c>
      <c r="E42" s="8" t="s">
        <v>273</v>
      </c>
      <c r="F42" s="10" t="s">
        <v>29</v>
      </c>
      <c r="G42" s="12" t="s">
        <v>84</v>
      </c>
      <c r="I42" s="12" t="s">
        <v>84</v>
      </c>
      <c r="J42" s="11" t="s">
        <v>178</v>
      </c>
      <c r="K42" s="19" t="s">
        <v>230</v>
      </c>
      <c r="L42" s="22">
        <v>2.76</v>
      </c>
      <c r="M42" s="26">
        <v>5.53</v>
      </c>
      <c r="N42" s="27">
        <f t="shared" si="0"/>
        <v>2.76</v>
      </c>
      <c r="O42" s="27">
        <f t="shared" si="1"/>
        <v>5.53</v>
      </c>
      <c r="P42" s="6">
        <f t="shared" si="2"/>
        <v>0.50090415913200725</v>
      </c>
      <c r="Q42" s="31">
        <v>2.484</v>
      </c>
      <c r="R42" s="29">
        <v>2.502770780856423</v>
      </c>
      <c r="S42" s="7">
        <v>4.9770000000000003</v>
      </c>
      <c r="T42">
        <v>5.0146095717884132</v>
      </c>
      <c r="U42" s="6">
        <f t="shared" si="3"/>
        <v>-0.50090415913200725</v>
      </c>
    </row>
    <row r="43" spans="1:21" ht="15.75" x14ac:dyDescent="0.25">
      <c r="A43" t="s">
        <v>21</v>
      </c>
      <c r="B43" t="s">
        <v>334</v>
      </c>
      <c r="C43" t="s">
        <v>333</v>
      </c>
      <c r="D43" t="s">
        <v>332</v>
      </c>
      <c r="E43" s="8" t="s">
        <v>274</v>
      </c>
      <c r="F43" s="10" t="s">
        <v>29</v>
      </c>
      <c r="G43" s="12" t="s">
        <v>86</v>
      </c>
      <c r="I43" s="12" t="s">
        <v>86</v>
      </c>
      <c r="J43" s="11" t="s">
        <v>180</v>
      </c>
      <c r="K43" s="19" t="s">
        <v>230</v>
      </c>
      <c r="L43" s="22">
        <v>2.62</v>
      </c>
      <c r="M43" s="26">
        <v>4.66</v>
      </c>
      <c r="N43" s="27">
        <f t="shared" si="0"/>
        <v>2.62</v>
      </c>
      <c r="O43" s="27">
        <f t="shared" si="1"/>
        <v>4.66</v>
      </c>
      <c r="P43" s="6">
        <f t="shared" si="2"/>
        <v>0.43776824034334766</v>
      </c>
      <c r="Q43" s="31">
        <v>2.3580000000000001</v>
      </c>
      <c r="R43" s="29">
        <v>2.3758186397984886</v>
      </c>
      <c r="S43" s="7">
        <v>4.194</v>
      </c>
      <c r="T43">
        <v>4.2256926952141054</v>
      </c>
      <c r="U43" s="6">
        <f t="shared" si="3"/>
        <v>-0.4377682403433476</v>
      </c>
    </row>
    <row r="44" spans="1:21" ht="15.75" x14ac:dyDescent="0.25">
      <c r="A44" t="s">
        <v>21</v>
      </c>
      <c r="B44" t="s">
        <v>334</v>
      </c>
      <c r="C44" t="s">
        <v>333</v>
      </c>
      <c r="D44" t="s">
        <v>332</v>
      </c>
      <c r="E44" s="8" t="s">
        <v>275</v>
      </c>
      <c r="F44" s="10" t="s">
        <v>29</v>
      </c>
      <c r="G44" s="11" t="s">
        <v>89</v>
      </c>
      <c r="I44" s="11" t="s">
        <v>89</v>
      </c>
      <c r="J44" s="11" t="s">
        <v>183</v>
      </c>
      <c r="K44" s="19" t="s">
        <v>230</v>
      </c>
      <c r="L44" s="22">
        <v>2.4700000000000002</v>
      </c>
      <c r="M44" s="26">
        <v>4.01</v>
      </c>
      <c r="N44" s="27">
        <f t="shared" si="0"/>
        <v>2.4700000000000002</v>
      </c>
      <c r="O44" s="27">
        <f t="shared" si="1"/>
        <v>4.01</v>
      </c>
      <c r="P44" s="6">
        <f t="shared" si="2"/>
        <v>0.38403990024937645</v>
      </c>
      <c r="Q44" s="31">
        <v>2.2230000000000003</v>
      </c>
      <c r="R44" s="29">
        <v>2.2397984886649875</v>
      </c>
      <c r="S44" s="7">
        <v>3.609</v>
      </c>
      <c r="T44">
        <v>3.6362720403022668</v>
      </c>
      <c r="U44" s="6">
        <f t="shared" si="3"/>
        <v>-0.38403990024937651</v>
      </c>
    </row>
    <row r="45" spans="1:21" ht="15.75" x14ac:dyDescent="0.25">
      <c r="A45" t="s">
        <v>21</v>
      </c>
      <c r="B45" t="s">
        <v>334</v>
      </c>
      <c r="C45" t="s">
        <v>333</v>
      </c>
      <c r="D45" t="s">
        <v>332</v>
      </c>
      <c r="E45" s="8" t="s">
        <v>276</v>
      </c>
      <c r="F45" s="10" t="s">
        <v>29</v>
      </c>
      <c r="G45" s="11" t="s">
        <v>89</v>
      </c>
      <c r="I45" s="11" t="s">
        <v>89</v>
      </c>
      <c r="J45" s="11" t="s">
        <v>184</v>
      </c>
      <c r="K45" s="19" t="s">
        <v>230</v>
      </c>
      <c r="L45" s="22">
        <v>2.2000000000000002</v>
      </c>
      <c r="M45" s="26">
        <v>3.2149999999999999</v>
      </c>
      <c r="N45" s="27">
        <f t="shared" si="0"/>
        <v>2.2000000000000002</v>
      </c>
      <c r="O45" s="27">
        <f t="shared" si="1"/>
        <v>3.2149999999999999</v>
      </c>
      <c r="P45" s="6">
        <f t="shared" si="2"/>
        <v>0.31570762052877127</v>
      </c>
      <c r="Q45" s="31">
        <v>1.9800000000000002</v>
      </c>
      <c r="R45" s="29">
        <v>1.9949622166246852</v>
      </c>
      <c r="S45" s="7">
        <v>2.8935</v>
      </c>
      <c r="T45">
        <v>2.9153652392947103</v>
      </c>
      <c r="U45" s="6">
        <f t="shared" si="3"/>
        <v>-0.31570762052877133</v>
      </c>
    </row>
    <row r="46" spans="1:21" ht="15.75" x14ac:dyDescent="0.25">
      <c r="A46" t="s">
        <v>21</v>
      </c>
      <c r="B46" t="s">
        <v>334</v>
      </c>
      <c r="C46" t="s">
        <v>333</v>
      </c>
      <c r="D46" t="s">
        <v>332</v>
      </c>
      <c r="E46" s="8" t="s">
        <v>277</v>
      </c>
      <c r="F46" s="10" t="s">
        <v>27</v>
      </c>
      <c r="G46" s="11" t="s">
        <v>47</v>
      </c>
      <c r="I46" s="11" t="s">
        <v>47</v>
      </c>
      <c r="J46" s="11" t="s">
        <v>142</v>
      </c>
      <c r="K46" s="19" t="s">
        <v>225</v>
      </c>
      <c r="L46" s="23">
        <v>55</v>
      </c>
      <c r="M46" s="23">
        <v>121</v>
      </c>
      <c r="N46" s="27">
        <f t="shared" si="0"/>
        <v>55</v>
      </c>
      <c r="O46" s="27">
        <f t="shared" si="1"/>
        <v>121</v>
      </c>
      <c r="P46" s="6">
        <f t="shared" si="2"/>
        <v>0.54545454545454541</v>
      </c>
      <c r="Q46" s="31">
        <v>49.5</v>
      </c>
      <c r="R46" s="28">
        <v>49.874055415617129</v>
      </c>
      <c r="S46" s="7">
        <v>108.9</v>
      </c>
      <c r="T46">
        <v>109.72292191435768</v>
      </c>
      <c r="U46" s="6">
        <f t="shared" si="3"/>
        <v>-0.54545454545454541</v>
      </c>
    </row>
    <row r="47" spans="1:21" ht="15.75" x14ac:dyDescent="0.25">
      <c r="A47" t="s">
        <v>21</v>
      </c>
      <c r="B47" t="s">
        <v>334</v>
      </c>
      <c r="C47" t="s">
        <v>333</v>
      </c>
      <c r="D47" t="s">
        <v>332</v>
      </c>
      <c r="E47" s="8" t="s">
        <v>278</v>
      </c>
      <c r="F47" s="10" t="s">
        <v>27</v>
      </c>
      <c r="G47" s="11" t="s">
        <v>50</v>
      </c>
      <c r="I47" s="11" t="s">
        <v>50</v>
      </c>
      <c r="J47" s="11" t="s">
        <v>145</v>
      </c>
      <c r="K47" s="19" t="s">
        <v>225</v>
      </c>
      <c r="L47" s="22">
        <v>41.5</v>
      </c>
      <c r="M47" s="26">
        <v>91.3</v>
      </c>
      <c r="N47" s="27">
        <f t="shared" si="0"/>
        <v>41.5</v>
      </c>
      <c r="O47" s="27">
        <f t="shared" si="1"/>
        <v>91.3</v>
      </c>
      <c r="P47" s="6">
        <f t="shared" si="2"/>
        <v>0.54545454545454541</v>
      </c>
      <c r="Q47" s="31">
        <v>37.35</v>
      </c>
      <c r="R47" s="30">
        <v>37.632241813602015</v>
      </c>
      <c r="S47" s="7">
        <v>82.17</v>
      </c>
      <c r="T47">
        <v>82.790931989924431</v>
      </c>
      <c r="U47" s="6">
        <f t="shared" si="3"/>
        <v>-0.54545454545454541</v>
      </c>
    </row>
    <row r="48" spans="1:21" ht="15.75" x14ac:dyDescent="0.25">
      <c r="A48" t="s">
        <v>21</v>
      </c>
      <c r="B48" t="s">
        <v>334</v>
      </c>
      <c r="C48" t="s">
        <v>333</v>
      </c>
      <c r="D48" t="s">
        <v>332</v>
      </c>
      <c r="E48" s="8" t="s">
        <v>279</v>
      </c>
      <c r="F48" s="10" t="s">
        <v>27</v>
      </c>
      <c r="G48" s="11" t="s">
        <v>59</v>
      </c>
      <c r="I48" s="11" t="s">
        <v>59</v>
      </c>
      <c r="J48" s="11" t="s">
        <v>154</v>
      </c>
      <c r="K48" s="19" t="s">
        <v>225</v>
      </c>
      <c r="L48" s="22">
        <v>24</v>
      </c>
      <c r="M48" s="26">
        <v>52.8</v>
      </c>
      <c r="N48" s="27">
        <f t="shared" si="0"/>
        <v>24</v>
      </c>
      <c r="O48" s="27">
        <f t="shared" si="1"/>
        <v>52.8</v>
      </c>
      <c r="P48" s="6">
        <f t="shared" si="2"/>
        <v>0.54545454545454541</v>
      </c>
      <c r="Q48" s="31">
        <v>21.6</v>
      </c>
      <c r="R48" s="30">
        <v>21.763224181360201</v>
      </c>
      <c r="S48" s="7">
        <v>47.519999999999996</v>
      </c>
      <c r="T48">
        <v>47.879093198992436</v>
      </c>
      <c r="U48" s="6">
        <f t="shared" si="3"/>
        <v>-0.54545454545454541</v>
      </c>
    </row>
    <row r="49" spans="1:21" ht="15.75" x14ac:dyDescent="0.25">
      <c r="A49" t="s">
        <v>21</v>
      </c>
      <c r="B49" t="s">
        <v>334</v>
      </c>
      <c r="C49" t="s">
        <v>333</v>
      </c>
      <c r="D49" t="s">
        <v>332</v>
      </c>
      <c r="E49" s="8" t="s">
        <v>280</v>
      </c>
      <c r="F49" s="10" t="s">
        <v>28</v>
      </c>
      <c r="G49" s="14" t="s">
        <v>52</v>
      </c>
      <c r="I49" s="14" t="s">
        <v>52</v>
      </c>
      <c r="J49" s="11" t="s">
        <v>147</v>
      </c>
      <c r="K49" s="19" t="s">
        <v>225</v>
      </c>
      <c r="L49" s="22">
        <v>65</v>
      </c>
      <c r="M49" s="26">
        <v>103.95</v>
      </c>
      <c r="N49" s="27">
        <f t="shared" si="0"/>
        <v>65</v>
      </c>
      <c r="O49" s="27">
        <f t="shared" si="1"/>
        <v>103.95</v>
      </c>
      <c r="P49" s="6">
        <f t="shared" si="2"/>
        <v>0.3746993746993747</v>
      </c>
      <c r="Q49" s="31">
        <v>58.5</v>
      </c>
      <c r="R49" s="30">
        <v>58.942065491183875</v>
      </c>
      <c r="S49" s="7">
        <f t="shared" ref="S49:S66" si="4">T49*0.9925</f>
        <v>93.549737531250017</v>
      </c>
      <c r="T49">
        <v>94.256662500000019</v>
      </c>
      <c r="U49" s="6">
        <f t="shared" si="3"/>
        <v>-0.37466419956060004</v>
      </c>
    </row>
    <row r="50" spans="1:21" ht="15.75" x14ac:dyDescent="0.25">
      <c r="A50" t="s">
        <v>21</v>
      </c>
      <c r="B50" t="s">
        <v>334</v>
      </c>
      <c r="C50" t="s">
        <v>333</v>
      </c>
      <c r="D50" t="s">
        <v>332</v>
      </c>
      <c r="E50" s="8" t="s">
        <v>281</v>
      </c>
      <c r="F50" s="10" t="s">
        <v>28</v>
      </c>
      <c r="G50" s="11" t="s">
        <v>66</v>
      </c>
      <c r="I50" s="11" t="s">
        <v>66</v>
      </c>
      <c r="J50" s="9" t="s">
        <v>161</v>
      </c>
      <c r="K50" s="19" t="s">
        <v>225</v>
      </c>
      <c r="L50" s="22">
        <v>54</v>
      </c>
      <c r="M50" s="26">
        <v>70.75</v>
      </c>
      <c r="N50" s="27">
        <f t="shared" si="0"/>
        <v>54</v>
      </c>
      <c r="O50" s="27">
        <f t="shared" si="1"/>
        <v>70.75</v>
      </c>
      <c r="P50" s="6">
        <f t="shared" si="2"/>
        <v>0.23674911660777384</v>
      </c>
      <c r="Q50" s="31">
        <v>48.6</v>
      </c>
      <c r="R50" s="30">
        <v>48.967254408060455</v>
      </c>
      <c r="S50" s="7">
        <f t="shared" si="4"/>
        <v>63.671418281250006</v>
      </c>
      <c r="T50">
        <v>64.152562500000002</v>
      </c>
      <c r="U50" s="6">
        <f t="shared" si="3"/>
        <v>-0.23670618133047372</v>
      </c>
    </row>
    <row r="51" spans="1:21" ht="15.75" x14ac:dyDescent="0.25">
      <c r="A51" t="s">
        <v>21</v>
      </c>
      <c r="B51" t="s">
        <v>334</v>
      </c>
      <c r="C51" t="s">
        <v>333</v>
      </c>
      <c r="D51" t="s">
        <v>332</v>
      </c>
      <c r="E51" s="8" t="s">
        <v>282</v>
      </c>
      <c r="F51" s="10" t="s">
        <v>28</v>
      </c>
      <c r="G51" s="11" t="s">
        <v>81</v>
      </c>
      <c r="I51" s="11" t="s">
        <v>81</v>
      </c>
      <c r="J51" s="11" t="s">
        <v>175</v>
      </c>
      <c r="K51" s="19" t="s">
        <v>225</v>
      </c>
      <c r="L51" s="22">
        <v>11</v>
      </c>
      <c r="M51" s="26">
        <v>14.01</v>
      </c>
      <c r="N51" s="27">
        <f t="shared" si="0"/>
        <v>11</v>
      </c>
      <c r="O51" s="27">
        <f t="shared" si="1"/>
        <v>14.01</v>
      </c>
      <c r="P51" s="6">
        <f t="shared" si="2"/>
        <v>0.21484653818700927</v>
      </c>
      <c r="Q51" s="31">
        <v>9.9</v>
      </c>
      <c r="R51" s="30">
        <v>9.9748110831234253</v>
      </c>
      <c r="S51" s="7">
        <f t="shared" si="4"/>
        <v>12.60829074375</v>
      </c>
      <c r="T51">
        <v>12.7035675</v>
      </c>
      <c r="U51" s="6">
        <f t="shared" si="3"/>
        <v>-0.2148023708203679</v>
      </c>
    </row>
    <row r="52" spans="1:21" ht="15.75" x14ac:dyDescent="0.25">
      <c r="A52" t="s">
        <v>21</v>
      </c>
      <c r="B52" t="s">
        <v>334</v>
      </c>
      <c r="C52" t="s">
        <v>333</v>
      </c>
      <c r="D52" t="s">
        <v>332</v>
      </c>
      <c r="E52" s="8" t="s">
        <v>283</v>
      </c>
      <c r="F52" s="10" t="s">
        <v>24</v>
      </c>
      <c r="G52" s="12" t="s">
        <v>34</v>
      </c>
      <c r="I52" s="12" t="s">
        <v>34</v>
      </c>
      <c r="J52" s="11" t="s">
        <v>129</v>
      </c>
      <c r="K52" s="20" t="s">
        <v>225</v>
      </c>
      <c r="L52" s="22">
        <v>300</v>
      </c>
      <c r="M52" s="26">
        <v>660</v>
      </c>
      <c r="N52" s="27">
        <f t="shared" si="0"/>
        <v>300</v>
      </c>
      <c r="O52" s="27">
        <f t="shared" si="1"/>
        <v>660</v>
      </c>
      <c r="P52" s="6">
        <f t="shared" si="2"/>
        <v>0.54545454545454541</v>
      </c>
      <c r="Q52" s="31">
        <v>270</v>
      </c>
      <c r="R52" s="29">
        <v>272.04030226700252</v>
      </c>
      <c r="S52" s="7">
        <f t="shared" si="4"/>
        <v>593.96658750000006</v>
      </c>
      <c r="T52">
        <v>598.45500000000004</v>
      </c>
      <c r="U52" s="6">
        <f t="shared" si="3"/>
        <v>-0.54542897583443617</v>
      </c>
    </row>
    <row r="53" spans="1:21" ht="15.75" x14ac:dyDescent="0.25">
      <c r="A53" t="s">
        <v>21</v>
      </c>
      <c r="B53" t="s">
        <v>334</v>
      </c>
      <c r="C53" t="s">
        <v>333</v>
      </c>
      <c r="D53" t="s">
        <v>332</v>
      </c>
      <c r="E53" s="8" t="s">
        <v>284</v>
      </c>
      <c r="F53" s="10" t="s">
        <v>24</v>
      </c>
      <c r="G53" s="11" t="s">
        <v>41</v>
      </c>
      <c r="I53" s="11" t="s">
        <v>41</v>
      </c>
      <c r="J53" s="11" t="s">
        <v>136</v>
      </c>
      <c r="K53" s="19" t="s">
        <v>228</v>
      </c>
      <c r="L53" s="23">
        <v>136</v>
      </c>
      <c r="M53" s="25">
        <v>244.2</v>
      </c>
      <c r="N53" s="27">
        <f t="shared" si="0"/>
        <v>136</v>
      </c>
      <c r="O53" s="27">
        <f t="shared" si="1"/>
        <v>244.2</v>
      </c>
      <c r="P53" s="6">
        <f t="shared" si="2"/>
        <v>0.44307944307944308</v>
      </c>
      <c r="Q53" s="31">
        <v>122.4</v>
      </c>
      <c r="R53" s="28">
        <v>123.3249370277078</v>
      </c>
      <c r="S53" s="7">
        <f t="shared" si="4"/>
        <v>219.76763737499999</v>
      </c>
      <c r="T53">
        <v>221.42834999999999</v>
      </c>
      <c r="U53" s="6">
        <f t="shared" si="3"/>
        <v>-0.44304811453588566</v>
      </c>
    </row>
    <row r="54" spans="1:21" ht="15.75" x14ac:dyDescent="0.25">
      <c r="A54" t="s">
        <v>21</v>
      </c>
      <c r="B54" t="s">
        <v>334</v>
      </c>
      <c r="C54" t="s">
        <v>333</v>
      </c>
      <c r="D54" t="s">
        <v>332</v>
      </c>
      <c r="E54" s="8" t="s">
        <v>285</v>
      </c>
      <c r="F54" s="10" t="s">
        <v>24</v>
      </c>
      <c r="G54" s="11" t="s">
        <v>42</v>
      </c>
      <c r="I54" s="11" t="s">
        <v>42</v>
      </c>
      <c r="J54" s="11" t="s">
        <v>137</v>
      </c>
      <c r="K54" s="19" t="s">
        <v>228</v>
      </c>
      <c r="L54" s="23">
        <v>136</v>
      </c>
      <c r="M54" s="25">
        <v>244.2</v>
      </c>
      <c r="N54" s="27">
        <f t="shared" si="0"/>
        <v>136</v>
      </c>
      <c r="O54" s="27">
        <f t="shared" si="1"/>
        <v>244.2</v>
      </c>
      <c r="P54" s="6">
        <f t="shared" si="2"/>
        <v>0.44307944307944308</v>
      </c>
      <c r="Q54" s="31">
        <v>122.4</v>
      </c>
      <c r="R54" s="28">
        <v>123.3249370277078</v>
      </c>
      <c r="S54" s="7">
        <f t="shared" si="4"/>
        <v>219.76763737499999</v>
      </c>
      <c r="T54">
        <v>221.42834999999999</v>
      </c>
      <c r="U54" s="6">
        <f t="shared" si="3"/>
        <v>-0.44304811453588566</v>
      </c>
    </row>
    <row r="55" spans="1:21" ht="15.75" x14ac:dyDescent="0.25">
      <c r="A55" t="s">
        <v>21</v>
      </c>
      <c r="B55" t="s">
        <v>334</v>
      </c>
      <c r="C55" t="s">
        <v>333</v>
      </c>
      <c r="D55" t="s">
        <v>332</v>
      </c>
      <c r="E55" s="8" t="s">
        <v>286</v>
      </c>
      <c r="F55" s="10" t="s">
        <v>24</v>
      </c>
      <c r="G55" s="11" t="s">
        <v>58</v>
      </c>
      <c r="I55" s="11" t="s">
        <v>58</v>
      </c>
      <c r="J55" s="11" t="s">
        <v>153</v>
      </c>
      <c r="K55" s="19" t="s">
        <v>228</v>
      </c>
      <c r="L55" s="23">
        <v>136</v>
      </c>
      <c r="M55" s="25">
        <v>165</v>
      </c>
      <c r="N55" s="27">
        <f t="shared" si="0"/>
        <v>136</v>
      </c>
      <c r="O55" s="27">
        <f t="shared" si="1"/>
        <v>165</v>
      </c>
      <c r="P55" s="6">
        <f t="shared" si="2"/>
        <v>0.17575757575757575</v>
      </c>
      <c r="Q55" s="31">
        <v>122.4</v>
      </c>
      <c r="R55" s="28">
        <v>123.3249370277078</v>
      </c>
      <c r="S55" s="7">
        <f t="shared" si="4"/>
        <v>148.49164687500001</v>
      </c>
      <c r="T55">
        <v>149.61375000000001</v>
      </c>
      <c r="U55" s="6">
        <f t="shared" si="3"/>
        <v>-0.17571120951311092</v>
      </c>
    </row>
    <row r="56" spans="1:21" ht="15.75" x14ac:dyDescent="0.25">
      <c r="A56" t="s">
        <v>21</v>
      </c>
      <c r="B56" t="s">
        <v>334</v>
      </c>
      <c r="C56" t="s">
        <v>333</v>
      </c>
      <c r="D56" t="s">
        <v>332</v>
      </c>
      <c r="E56" s="8" t="s">
        <v>287</v>
      </c>
      <c r="F56" s="10" t="s">
        <v>24</v>
      </c>
      <c r="G56" s="11" t="s">
        <v>54</v>
      </c>
      <c r="I56" s="11" t="s">
        <v>54</v>
      </c>
      <c r="J56" s="11" t="s">
        <v>149</v>
      </c>
      <c r="K56" s="19" t="s">
        <v>228</v>
      </c>
      <c r="L56" s="23">
        <v>126.83</v>
      </c>
      <c r="M56" s="25">
        <v>162.80000000000001</v>
      </c>
      <c r="N56" s="27">
        <f t="shared" si="0"/>
        <v>126.83</v>
      </c>
      <c r="O56" s="27">
        <f t="shared" si="1"/>
        <v>162.80000000000001</v>
      </c>
      <c r="P56" s="6">
        <f t="shared" si="2"/>
        <v>0.22094594594594602</v>
      </c>
      <c r="Q56" s="31">
        <v>114.14699999999999</v>
      </c>
      <c r="R56" s="28">
        <v>115.00957178841308</v>
      </c>
      <c r="S56" s="7">
        <f t="shared" si="4"/>
        <v>146.51175825000004</v>
      </c>
      <c r="T56">
        <v>147.61890000000002</v>
      </c>
      <c r="U56" s="6">
        <f t="shared" si="3"/>
        <v>-0.22090212169029133</v>
      </c>
    </row>
    <row r="57" spans="1:21" ht="15.75" x14ac:dyDescent="0.25">
      <c r="A57" t="s">
        <v>21</v>
      </c>
      <c r="B57" t="s">
        <v>334</v>
      </c>
      <c r="C57" t="s">
        <v>333</v>
      </c>
      <c r="D57" t="s">
        <v>332</v>
      </c>
      <c r="E57" s="8" t="s">
        <v>288</v>
      </c>
      <c r="F57" s="10" t="s">
        <v>24</v>
      </c>
      <c r="G57" s="11" t="s">
        <v>55</v>
      </c>
      <c r="I57" s="11" t="s">
        <v>55</v>
      </c>
      <c r="J57" s="11" t="s">
        <v>150</v>
      </c>
      <c r="K57" s="19" t="s">
        <v>228</v>
      </c>
      <c r="L57" s="23">
        <v>118.35</v>
      </c>
      <c r="M57" s="25">
        <v>149.6</v>
      </c>
      <c r="N57" s="27">
        <f t="shared" si="0"/>
        <v>118.35</v>
      </c>
      <c r="O57" s="27">
        <f t="shared" si="1"/>
        <v>149.6</v>
      </c>
      <c r="P57" s="6">
        <f t="shared" si="2"/>
        <v>0.2088903743315508</v>
      </c>
      <c r="Q57" s="31">
        <v>106.51499999999999</v>
      </c>
      <c r="R57" s="28">
        <v>107.31989924433248</v>
      </c>
      <c r="S57" s="7">
        <f t="shared" si="4"/>
        <v>134.63242650000001</v>
      </c>
      <c r="T57">
        <v>135.6498</v>
      </c>
      <c r="U57" s="6">
        <f t="shared" si="3"/>
        <v>-0.208845871911846</v>
      </c>
    </row>
    <row r="58" spans="1:21" ht="15.75" x14ac:dyDescent="0.25">
      <c r="A58" t="s">
        <v>21</v>
      </c>
      <c r="B58" t="s">
        <v>334</v>
      </c>
      <c r="C58" t="s">
        <v>333</v>
      </c>
      <c r="D58" t="s">
        <v>332</v>
      </c>
      <c r="E58" s="8" t="s">
        <v>289</v>
      </c>
      <c r="F58" s="10" t="s">
        <v>24</v>
      </c>
      <c r="G58" s="11" t="s">
        <v>60</v>
      </c>
      <c r="I58" s="11" t="s">
        <v>60</v>
      </c>
      <c r="J58" s="11" t="s">
        <v>155</v>
      </c>
      <c r="K58" s="19" t="s">
        <v>228</v>
      </c>
      <c r="L58" s="23">
        <v>114.84</v>
      </c>
      <c r="M58" s="25">
        <v>143</v>
      </c>
      <c r="N58" s="27">
        <f t="shared" si="0"/>
        <v>114.84</v>
      </c>
      <c r="O58" s="27">
        <f t="shared" si="1"/>
        <v>143</v>
      </c>
      <c r="P58" s="6">
        <f t="shared" si="2"/>
        <v>0.1969230769230769</v>
      </c>
      <c r="Q58" s="31">
        <v>103.35599999999999</v>
      </c>
      <c r="R58" s="28">
        <v>104.13702770780856</v>
      </c>
      <c r="S58" s="7">
        <f t="shared" si="4"/>
        <v>128.69276062500001</v>
      </c>
      <c r="T58">
        <v>129.66524999999999</v>
      </c>
      <c r="U58" s="6">
        <f t="shared" si="3"/>
        <v>-0.19687790130502536</v>
      </c>
    </row>
    <row r="59" spans="1:21" ht="15.75" x14ac:dyDescent="0.25">
      <c r="A59" t="s">
        <v>21</v>
      </c>
      <c r="B59" t="s">
        <v>334</v>
      </c>
      <c r="C59" t="s">
        <v>333</v>
      </c>
      <c r="D59" t="s">
        <v>332</v>
      </c>
      <c r="E59" s="8" t="s">
        <v>290</v>
      </c>
      <c r="F59" s="10" t="s">
        <v>24</v>
      </c>
      <c r="G59" s="11" t="s">
        <v>39</v>
      </c>
      <c r="I59" s="11" t="s">
        <v>39</v>
      </c>
      <c r="J59" s="11" t="s">
        <v>134</v>
      </c>
      <c r="K59" s="19" t="s">
        <v>228</v>
      </c>
      <c r="L59" s="23">
        <v>105.41</v>
      </c>
      <c r="M59" s="25">
        <v>231</v>
      </c>
      <c r="N59" s="27">
        <f t="shared" si="0"/>
        <v>105.41</v>
      </c>
      <c r="O59" s="27">
        <f t="shared" si="1"/>
        <v>231</v>
      </c>
      <c r="P59" s="6">
        <f t="shared" si="2"/>
        <v>0.54367965367965365</v>
      </c>
      <c r="Q59" s="31">
        <v>94.869</v>
      </c>
      <c r="R59" s="28">
        <v>95.585894206549114</v>
      </c>
      <c r="S59" s="7">
        <f t="shared" si="4"/>
        <v>207.88830562500004</v>
      </c>
      <c r="T59">
        <v>209.45925000000003</v>
      </c>
      <c r="U59" s="6">
        <f t="shared" si="3"/>
        <v>-0.54365398421626598</v>
      </c>
    </row>
    <row r="60" spans="1:21" ht="15.75" x14ac:dyDescent="0.25">
      <c r="A60" t="s">
        <v>21</v>
      </c>
      <c r="B60" t="s">
        <v>334</v>
      </c>
      <c r="C60" t="s">
        <v>333</v>
      </c>
      <c r="D60" t="s">
        <v>332</v>
      </c>
      <c r="E60" s="8" t="s">
        <v>291</v>
      </c>
      <c r="F60" s="10" t="s">
        <v>24</v>
      </c>
      <c r="G60" s="12" t="s">
        <v>111</v>
      </c>
      <c r="I60" s="12" t="s">
        <v>111</v>
      </c>
      <c r="J60" s="11" t="s">
        <v>209</v>
      </c>
      <c r="K60" s="19" t="s">
        <v>225</v>
      </c>
      <c r="L60" s="22">
        <v>101</v>
      </c>
      <c r="M60" s="26">
        <v>101</v>
      </c>
      <c r="N60" s="27">
        <f t="shared" si="0"/>
        <v>101</v>
      </c>
      <c r="O60" s="27">
        <f t="shared" si="1"/>
        <v>101</v>
      </c>
      <c r="P60" s="6">
        <f t="shared" si="2"/>
        <v>0</v>
      </c>
      <c r="Q60" s="31">
        <v>90.9</v>
      </c>
      <c r="R60" s="29">
        <v>91.586901763224176</v>
      </c>
      <c r="S60" s="7">
        <v>90.9</v>
      </c>
      <c r="T60">
        <v>91.586901763224176</v>
      </c>
      <c r="U60" s="6">
        <f t="shared" si="3"/>
        <v>0</v>
      </c>
    </row>
    <row r="61" spans="1:21" ht="15.75" x14ac:dyDescent="0.25">
      <c r="A61" t="s">
        <v>21</v>
      </c>
      <c r="B61" t="s">
        <v>334</v>
      </c>
      <c r="C61" t="s">
        <v>333</v>
      </c>
      <c r="D61" t="s">
        <v>332</v>
      </c>
      <c r="E61" s="8" t="s">
        <v>292</v>
      </c>
      <c r="F61" s="10" t="s">
        <v>24</v>
      </c>
      <c r="G61" s="12" t="s">
        <v>70</v>
      </c>
      <c r="I61" s="12" t="s">
        <v>70</v>
      </c>
      <c r="J61" s="11" t="s">
        <v>165</v>
      </c>
      <c r="K61" s="19" t="s">
        <v>225</v>
      </c>
      <c r="L61" s="22">
        <v>85</v>
      </c>
      <c r="M61" s="26">
        <v>99</v>
      </c>
      <c r="N61" s="27">
        <f t="shared" si="0"/>
        <v>85</v>
      </c>
      <c r="O61" s="27">
        <f t="shared" si="1"/>
        <v>99</v>
      </c>
      <c r="P61" s="6">
        <f t="shared" si="2"/>
        <v>0.14141414141414141</v>
      </c>
      <c r="Q61" s="31">
        <v>76.5</v>
      </c>
      <c r="R61" s="29">
        <v>77.078085642317376</v>
      </c>
      <c r="S61" s="7">
        <f t="shared" si="4"/>
        <v>89.094988125</v>
      </c>
      <c r="T61">
        <v>89.768249999999995</v>
      </c>
      <c r="U61" s="6">
        <f t="shared" si="3"/>
        <v>-0.14136584324282386</v>
      </c>
    </row>
    <row r="62" spans="1:21" ht="15.75" x14ac:dyDescent="0.25">
      <c r="A62" t="s">
        <v>21</v>
      </c>
      <c r="B62" t="s">
        <v>334</v>
      </c>
      <c r="C62" t="s">
        <v>333</v>
      </c>
      <c r="D62" t="s">
        <v>332</v>
      </c>
      <c r="E62" s="8" t="s">
        <v>293</v>
      </c>
      <c r="F62" s="10" t="s">
        <v>24</v>
      </c>
      <c r="G62" s="12" t="s">
        <v>112</v>
      </c>
      <c r="I62" s="12" t="s">
        <v>112</v>
      </c>
      <c r="J62" s="11" t="s">
        <v>210</v>
      </c>
      <c r="K62" s="19" t="s">
        <v>225</v>
      </c>
      <c r="L62" s="22">
        <v>85</v>
      </c>
      <c r="M62" s="26">
        <v>85</v>
      </c>
      <c r="N62" s="27">
        <f t="shared" si="0"/>
        <v>85</v>
      </c>
      <c r="O62" s="27">
        <f t="shared" si="1"/>
        <v>85</v>
      </c>
      <c r="P62" s="6">
        <f t="shared" si="2"/>
        <v>0</v>
      </c>
      <c r="Q62" s="31">
        <v>76.5</v>
      </c>
      <c r="R62" s="29">
        <v>77.078085642317376</v>
      </c>
      <c r="S62" s="7">
        <v>76.5</v>
      </c>
      <c r="T62">
        <v>77.078085642317376</v>
      </c>
      <c r="U62" s="6">
        <f t="shared" si="3"/>
        <v>0</v>
      </c>
    </row>
    <row r="63" spans="1:21" ht="15.75" x14ac:dyDescent="0.25">
      <c r="A63" t="s">
        <v>21</v>
      </c>
      <c r="B63" t="s">
        <v>334</v>
      </c>
      <c r="C63" t="s">
        <v>333</v>
      </c>
      <c r="D63" t="s">
        <v>332</v>
      </c>
      <c r="E63" s="8" t="s">
        <v>294</v>
      </c>
      <c r="F63" s="10" t="s">
        <v>24</v>
      </c>
      <c r="G63" s="11" t="s">
        <v>71</v>
      </c>
      <c r="I63" s="11" t="s">
        <v>71</v>
      </c>
      <c r="J63" s="11" t="s">
        <v>166</v>
      </c>
      <c r="K63" s="19" t="s">
        <v>228</v>
      </c>
      <c r="L63" s="23">
        <v>78.319999999999993</v>
      </c>
      <c r="M63" s="25">
        <v>89.98</v>
      </c>
      <c r="N63" s="27">
        <f t="shared" si="0"/>
        <v>78.319999999999993</v>
      </c>
      <c r="O63" s="27">
        <f t="shared" si="1"/>
        <v>89.98</v>
      </c>
      <c r="P63" s="6">
        <f t="shared" si="2"/>
        <v>0.12958435207823973</v>
      </c>
      <c r="Q63" s="31">
        <v>70.488</v>
      </c>
      <c r="R63" s="28">
        <v>71.02065491183879</v>
      </c>
      <c r="S63" s="7">
        <f t="shared" si="4"/>
        <v>80.977444762499999</v>
      </c>
      <c r="T63">
        <v>81.589365000000001</v>
      </c>
      <c r="U63" s="6">
        <f t="shared" si="3"/>
        <v>-0.12953538844383961</v>
      </c>
    </row>
    <row r="64" spans="1:21" ht="15.75" x14ac:dyDescent="0.25">
      <c r="A64" t="s">
        <v>21</v>
      </c>
      <c r="B64" t="s">
        <v>334</v>
      </c>
      <c r="C64" t="s">
        <v>333</v>
      </c>
      <c r="D64" t="s">
        <v>332</v>
      </c>
      <c r="E64" s="8" t="s">
        <v>295</v>
      </c>
      <c r="F64" s="10" t="s">
        <v>24</v>
      </c>
      <c r="G64" s="12" t="s">
        <v>113</v>
      </c>
      <c r="I64" s="12" t="s">
        <v>113</v>
      </c>
      <c r="J64" s="11" t="s">
        <v>211</v>
      </c>
      <c r="K64" s="19" t="s">
        <v>225</v>
      </c>
      <c r="L64" s="22">
        <v>78</v>
      </c>
      <c r="M64" s="26">
        <v>78</v>
      </c>
      <c r="N64" s="27">
        <f t="shared" si="0"/>
        <v>78</v>
      </c>
      <c r="O64" s="27">
        <f t="shared" si="1"/>
        <v>78</v>
      </c>
      <c r="P64" s="6">
        <f t="shared" si="2"/>
        <v>0</v>
      </c>
      <c r="Q64" s="31">
        <v>70.2</v>
      </c>
      <c r="R64" s="29">
        <v>70.730478589420656</v>
      </c>
      <c r="S64" s="7">
        <f t="shared" si="4"/>
        <v>70.196051250000011</v>
      </c>
      <c r="T64">
        <v>70.726500000000001</v>
      </c>
      <c r="U64" s="6">
        <f t="shared" si="3"/>
        <v>5.625316424029414E-5</v>
      </c>
    </row>
    <row r="65" spans="1:21" ht="15.75" x14ac:dyDescent="0.25">
      <c r="A65" t="s">
        <v>21</v>
      </c>
      <c r="B65" t="s">
        <v>334</v>
      </c>
      <c r="C65" t="s">
        <v>333</v>
      </c>
      <c r="D65" t="s">
        <v>332</v>
      </c>
      <c r="E65" s="8" t="s">
        <v>296</v>
      </c>
      <c r="F65" s="10" t="s">
        <v>24</v>
      </c>
      <c r="G65" s="13" t="s">
        <v>114</v>
      </c>
      <c r="I65" s="13" t="s">
        <v>114</v>
      </c>
      <c r="J65" s="11" t="s">
        <v>212</v>
      </c>
      <c r="K65" s="19" t="s">
        <v>225</v>
      </c>
      <c r="L65" s="22">
        <v>72</v>
      </c>
      <c r="M65" s="26">
        <v>72</v>
      </c>
      <c r="N65" s="27">
        <f t="shared" si="0"/>
        <v>72</v>
      </c>
      <c r="O65" s="27">
        <f t="shared" si="1"/>
        <v>72</v>
      </c>
      <c r="P65" s="6">
        <f t="shared" si="2"/>
        <v>0</v>
      </c>
      <c r="Q65" s="31">
        <v>64.8</v>
      </c>
      <c r="R65" s="29">
        <v>65.289672544080602</v>
      </c>
      <c r="S65" s="7">
        <f t="shared" si="4"/>
        <v>64.796355000000005</v>
      </c>
      <c r="T65">
        <v>65.286000000000001</v>
      </c>
      <c r="U65" s="6">
        <f t="shared" si="3"/>
        <v>5.625316424029414E-5</v>
      </c>
    </row>
    <row r="66" spans="1:21" ht="15.75" x14ac:dyDescent="0.25">
      <c r="A66" t="s">
        <v>21</v>
      </c>
      <c r="B66" t="s">
        <v>334</v>
      </c>
      <c r="C66" t="s">
        <v>333</v>
      </c>
      <c r="D66" t="s">
        <v>332</v>
      </c>
      <c r="E66" s="8" t="s">
        <v>297</v>
      </c>
      <c r="F66" s="10" t="s">
        <v>24</v>
      </c>
      <c r="G66" s="11" t="s">
        <v>65</v>
      </c>
      <c r="I66" s="11" t="s">
        <v>65</v>
      </c>
      <c r="J66" s="11" t="s">
        <v>160</v>
      </c>
      <c r="K66" s="19" t="s">
        <v>225</v>
      </c>
      <c r="L66" s="22">
        <v>65</v>
      </c>
      <c r="M66" s="26">
        <v>82.61</v>
      </c>
      <c r="N66" s="27">
        <f t="shared" si="0"/>
        <v>65</v>
      </c>
      <c r="O66" s="27">
        <f t="shared" si="1"/>
        <v>82.61</v>
      </c>
      <c r="P66" s="6">
        <f t="shared" si="2"/>
        <v>0.21317031836339426</v>
      </c>
      <c r="Q66" s="31">
        <v>58.5</v>
      </c>
      <c r="R66" s="29">
        <v>58.942065491183875</v>
      </c>
      <c r="S66" s="7">
        <f t="shared" si="4"/>
        <v>74.344817868750013</v>
      </c>
      <c r="T66">
        <v>74.90661750000001</v>
      </c>
      <c r="U66" s="6">
        <f t="shared" si="3"/>
        <v>-0.21312605670408402</v>
      </c>
    </row>
    <row r="67" spans="1:21" ht="15.75" x14ac:dyDescent="0.25">
      <c r="A67" t="s">
        <v>21</v>
      </c>
      <c r="B67" t="s">
        <v>334</v>
      </c>
      <c r="C67" t="s">
        <v>333</v>
      </c>
      <c r="D67" t="s">
        <v>332</v>
      </c>
      <c r="E67" s="8" t="s">
        <v>298</v>
      </c>
      <c r="F67" s="10" t="s">
        <v>24</v>
      </c>
      <c r="G67" s="12" t="s">
        <v>115</v>
      </c>
      <c r="I67" s="12" t="s">
        <v>115</v>
      </c>
      <c r="J67" s="11" t="s">
        <v>213</v>
      </c>
      <c r="K67" s="19" t="s">
        <v>225</v>
      </c>
      <c r="L67" s="22">
        <v>65</v>
      </c>
      <c r="M67" s="26">
        <v>65</v>
      </c>
      <c r="N67" s="27">
        <f t="shared" ref="N67:N100" si="5">L67</f>
        <v>65</v>
      </c>
      <c r="O67" s="27">
        <f t="shared" ref="O67:O100" si="6">M67</f>
        <v>65</v>
      </c>
      <c r="P67" s="6">
        <f t="shared" ref="P67:P100" si="7">(M67-L67)/M67</f>
        <v>0</v>
      </c>
      <c r="Q67" s="31">
        <v>58.5</v>
      </c>
      <c r="R67" s="29">
        <v>58.942065491183875</v>
      </c>
      <c r="S67" s="7">
        <f t="shared" ref="S67:S100" si="8">T67*0.9925</f>
        <v>58.496709375000009</v>
      </c>
      <c r="T67">
        <v>58.938750000000006</v>
      </c>
      <c r="U67" s="6">
        <f t="shared" ref="U67:U100" si="9">Q67/S67-1</f>
        <v>5.625316424029414E-5</v>
      </c>
    </row>
    <row r="68" spans="1:21" ht="15.75" x14ac:dyDescent="0.25">
      <c r="A68" t="s">
        <v>21</v>
      </c>
      <c r="B68" t="s">
        <v>334</v>
      </c>
      <c r="C68" t="s">
        <v>333</v>
      </c>
      <c r="D68" t="s">
        <v>332</v>
      </c>
      <c r="E68" s="8" t="s">
        <v>299</v>
      </c>
      <c r="F68" s="10" t="s">
        <v>24</v>
      </c>
      <c r="G68" s="11" t="s">
        <v>57</v>
      </c>
      <c r="I68" s="11" t="s">
        <v>57</v>
      </c>
      <c r="J68" s="11" t="s">
        <v>152</v>
      </c>
      <c r="K68" s="19" t="s">
        <v>228</v>
      </c>
      <c r="L68" s="23">
        <v>49.66</v>
      </c>
      <c r="M68" s="25">
        <v>79.2</v>
      </c>
      <c r="N68" s="27">
        <f t="shared" si="5"/>
        <v>49.66</v>
      </c>
      <c r="O68" s="27">
        <f t="shared" si="6"/>
        <v>79.2</v>
      </c>
      <c r="P68" s="6">
        <f t="shared" si="7"/>
        <v>0.37297979797979802</v>
      </c>
      <c r="Q68" s="31">
        <v>44.693999999999996</v>
      </c>
      <c r="R68" s="28">
        <v>45.031738035264475</v>
      </c>
      <c r="S68" s="7">
        <f t="shared" si="8"/>
        <v>71.275990500000006</v>
      </c>
      <c r="T68">
        <v>71.814599999999999</v>
      </c>
      <c r="U68" s="6">
        <f t="shared" si="9"/>
        <v>-0.37294452610939177</v>
      </c>
    </row>
    <row r="69" spans="1:21" ht="15.75" x14ac:dyDescent="0.25">
      <c r="A69" t="s">
        <v>21</v>
      </c>
      <c r="B69" t="s">
        <v>334</v>
      </c>
      <c r="C69" t="s">
        <v>333</v>
      </c>
      <c r="D69" t="s">
        <v>332</v>
      </c>
      <c r="E69" s="8" t="s">
        <v>300</v>
      </c>
      <c r="F69" s="10" t="s">
        <v>24</v>
      </c>
      <c r="G69" s="11" t="s">
        <v>64</v>
      </c>
      <c r="I69" s="11" t="s">
        <v>64</v>
      </c>
      <c r="J69" s="11" t="s">
        <v>159</v>
      </c>
      <c r="K69" s="19" t="s">
        <v>228</v>
      </c>
      <c r="L69" s="23">
        <v>48.17</v>
      </c>
      <c r="M69" s="25">
        <v>68.75</v>
      </c>
      <c r="N69" s="27">
        <f t="shared" si="5"/>
        <v>48.17</v>
      </c>
      <c r="O69" s="27">
        <f t="shared" si="6"/>
        <v>68.75</v>
      </c>
      <c r="P69" s="6">
        <f t="shared" si="7"/>
        <v>0.29934545454545453</v>
      </c>
      <c r="Q69" s="31">
        <v>43.353000000000002</v>
      </c>
      <c r="R69" s="28">
        <v>43.680604534005035</v>
      </c>
      <c r="S69" s="7">
        <f t="shared" si="8"/>
        <v>61.871519531250009</v>
      </c>
      <c r="T69">
        <v>62.339062500000004</v>
      </c>
      <c r="U69" s="6">
        <f t="shared" si="9"/>
        <v>-0.29930604051023335</v>
      </c>
    </row>
    <row r="70" spans="1:21" ht="15.75" x14ac:dyDescent="0.25">
      <c r="A70" t="s">
        <v>21</v>
      </c>
      <c r="B70" t="s">
        <v>334</v>
      </c>
      <c r="C70" t="s">
        <v>333</v>
      </c>
      <c r="D70" t="s">
        <v>332</v>
      </c>
      <c r="E70" s="8" t="s">
        <v>301</v>
      </c>
      <c r="F70" s="10" t="s">
        <v>24</v>
      </c>
      <c r="G70" s="12" t="s">
        <v>116</v>
      </c>
      <c r="I70" s="12" t="s">
        <v>116</v>
      </c>
      <c r="J70" s="11" t="s">
        <v>214</v>
      </c>
      <c r="K70" s="19" t="s">
        <v>225</v>
      </c>
      <c r="L70" s="22">
        <v>44.5</v>
      </c>
      <c r="M70" s="26">
        <v>44.5</v>
      </c>
      <c r="N70" s="27">
        <f t="shared" si="5"/>
        <v>44.5</v>
      </c>
      <c r="O70" s="27">
        <f t="shared" si="6"/>
        <v>44.5</v>
      </c>
      <c r="P70" s="6">
        <f t="shared" si="7"/>
        <v>0</v>
      </c>
      <c r="Q70" s="31">
        <v>40.049999999999997</v>
      </c>
      <c r="R70" s="29">
        <v>40.352644836272034</v>
      </c>
      <c r="S70" s="7">
        <f t="shared" si="8"/>
        <v>40.047747187500001</v>
      </c>
      <c r="T70">
        <v>40.350375</v>
      </c>
      <c r="U70" s="6">
        <f t="shared" si="9"/>
        <v>5.625316424029414E-5</v>
      </c>
    </row>
    <row r="71" spans="1:21" ht="15.75" x14ac:dyDescent="0.25">
      <c r="A71" t="s">
        <v>21</v>
      </c>
      <c r="B71" t="s">
        <v>334</v>
      </c>
      <c r="C71" t="s">
        <v>333</v>
      </c>
      <c r="D71" t="s">
        <v>332</v>
      </c>
      <c r="E71" s="8" t="s">
        <v>302</v>
      </c>
      <c r="F71" s="10" t="s">
        <v>24</v>
      </c>
      <c r="G71" s="11" t="s">
        <v>53</v>
      </c>
      <c r="I71" s="11" t="s">
        <v>53</v>
      </c>
      <c r="J71" s="13" t="s">
        <v>148</v>
      </c>
      <c r="K71" s="19" t="s">
        <v>225</v>
      </c>
      <c r="L71" s="23">
        <v>43.5</v>
      </c>
      <c r="M71" s="25">
        <v>79.97</v>
      </c>
      <c r="N71" s="27">
        <f t="shared" si="5"/>
        <v>43.5</v>
      </c>
      <c r="O71" s="27">
        <f t="shared" si="6"/>
        <v>79.97</v>
      </c>
      <c r="P71" s="6">
        <f t="shared" si="7"/>
        <v>0.45604601725647115</v>
      </c>
      <c r="Q71" s="31">
        <v>39.15</v>
      </c>
      <c r="R71" s="28">
        <v>39.445843828715361</v>
      </c>
      <c r="S71" s="7">
        <f t="shared" si="8"/>
        <v>71.968951518750004</v>
      </c>
      <c r="T71">
        <v>72.512797500000005</v>
      </c>
      <c r="U71" s="6">
        <f t="shared" si="9"/>
        <v>-0.45601541812374069</v>
      </c>
    </row>
    <row r="72" spans="1:21" ht="15.75" x14ac:dyDescent="0.25">
      <c r="A72" t="s">
        <v>21</v>
      </c>
      <c r="B72" t="s">
        <v>334</v>
      </c>
      <c r="C72" t="s">
        <v>333</v>
      </c>
      <c r="D72" t="s">
        <v>332</v>
      </c>
      <c r="E72" s="8" t="s">
        <v>303</v>
      </c>
      <c r="F72" s="10" t="s">
        <v>24</v>
      </c>
      <c r="G72" s="13" t="s">
        <v>49</v>
      </c>
      <c r="I72" s="13" t="s">
        <v>49</v>
      </c>
      <c r="J72" s="11" t="s">
        <v>144</v>
      </c>
      <c r="K72" s="19" t="s">
        <v>228</v>
      </c>
      <c r="L72" s="23">
        <v>42.24</v>
      </c>
      <c r="M72" s="25">
        <v>97.64</v>
      </c>
      <c r="N72" s="27">
        <f t="shared" si="5"/>
        <v>42.24</v>
      </c>
      <c r="O72" s="27">
        <f t="shared" si="6"/>
        <v>97.64</v>
      </c>
      <c r="P72" s="6">
        <f t="shared" si="7"/>
        <v>0.56739041376485044</v>
      </c>
      <c r="Q72" s="31">
        <v>38.016000000000005</v>
      </c>
      <c r="R72" s="28">
        <v>38.303274559193959</v>
      </c>
      <c r="S72" s="7">
        <f t="shared" si="8"/>
        <v>87.871056975000002</v>
      </c>
      <c r="T72">
        <v>88.535070000000005</v>
      </c>
      <c r="U72" s="6">
        <f t="shared" si="9"/>
        <v>-0.567366078106744</v>
      </c>
    </row>
    <row r="73" spans="1:21" ht="15.75" x14ac:dyDescent="0.25">
      <c r="A73" t="s">
        <v>21</v>
      </c>
      <c r="B73" t="s">
        <v>334</v>
      </c>
      <c r="C73" t="s">
        <v>333</v>
      </c>
      <c r="D73" t="s">
        <v>332</v>
      </c>
      <c r="E73" s="8" t="s">
        <v>304</v>
      </c>
      <c r="F73" s="10" t="s">
        <v>24</v>
      </c>
      <c r="G73" s="11" t="s">
        <v>63</v>
      </c>
      <c r="I73" s="11" t="s">
        <v>63</v>
      </c>
      <c r="J73" s="11" t="s">
        <v>158</v>
      </c>
      <c r="K73" s="19" t="s">
        <v>225</v>
      </c>
      <c r="L73" s="23">
        <v>32</v>
      </c>
      <c r="M73" s="25">
        <v>53.9</v>
      </c>
      <c r="N73" s="27">
        <f t="shared" si="5"/>
        <v>32</v>
      </c>
      <c r="O73" s="27">
        <f t="shared" si="6"/>
        <v>53.9</v>
      </c>
      <c r="P73" s="6">
        <f t="shared" si="7"/>
        <v>0.40630797773654914</v>
      </c>
      <c r="Q73" s="31">
        <v>28.8</v>
      </c>
      <c r="R73" s="28">
        <v>29.017632241813601</v>
      </c>
      <c r="S73" s="7">
        <f t="shared" si="8"/>
        <v>48.507271312500009</v>
      </c>
      <c r="T73">
        <v>48.873825000000004</v>
      </c>
      <c r="U73" s="6">
        <f t="shared" si="9"/>
        <v>-0.40627458068171263</v>
      </c>
    </row>
    <row r="74" spans="1:21" ht="15.75" x14ac:dyDescent="0.25">
      <c r="A74" t="s">
        <v>21</v>
      </c>
      <c r="B74" t="s">
        <v>334</v>
      </c>
      <c r="C74" t="s">
        <v>333</v>
      </c>
      <c r="D74" t="s">
        <v>332</v>
      </c>
      <c r="E74" s="8" t="s">
        <v>305</v>
      </c>
      <c r="F74" s="10" t="s">
        <v>24</v>
      </c>
      <c r="G74" s="11" t="s">
        <v>117</v>
      </c>
      <c r="I74" s="11" t="s">
        <v>117</v>
      </c>
      <c r="J74" s="13" t="s">
        <v>215</v>
      </c>
      <c r="K74" s="19" t="s">
        <v>225</v>
      </c>
      <c r="L74" s="22">
        <v>21.92</v>
      </c>
      <c r="M74" s="26">
        <v>21.92</v>
      </c>
      <c r="N74" s="27">
        <f t="shared" si="5"/>
        <v>21.92</v>
      </c>
      <c r="O74" s="27">
        <f t="shared" si="6"/>
        <v>21.92</v>
      </c>
      <c r="P74" s="6">
        <f t="shared" si="7"/>
        <v>0</v>
      </c>
      <c r="Q74" s="31">
        <v>19.728000000000002</v>
      </c>
      <c r="R74" s="29">
        <v>19.877078085642317</v>
      </c>
      <c r="S74" s="7">
        <f t="shared" si="8"/>
        <v>19.726890300000004</v>
      </c>
      <c r="T74">
        <v>19.875960000000003</v>
      </c>
      <c r="U74" s="6">
        <f t="shared" si="9"/>
        <v>5.625316424029414E-5</v>
      </c>
    </row>
    <row r="75" spans="1:21" ht="15.75" x14ac:dyDescent="0.25">
      <c r="A75" t="s">
        <v>21</v>
      </c>
      <c r="B75" t="s">
        <v>334</v>
      </c>
      <c r="C75" t="s">
        <v>333</v>
      </c>
      <c r="D75" t="s">
        <v>332</v>
      </c>
      <c r="E75" s="8" t="s">
        <v>306</v>
      </c>
      <c r="F75" s="10" t="s">
        <v>24</v>
      </c>
      <c r="G75" s="13" t="s">
        <v>118</v>
      </c>
      <c r="I75" s="13" t="s">
        <v>118</v>
      </c>
      <c r="J75" s="13" t="s">
        <v>216</v>
      </c>
      <c r="K75" s="19" t="s">
        <v>228</v>
      </c>
      <c r="L75" s="22">
        <v>20.56</v>
      </c>
      <c r="M75" s="26">
        <v>20.56</v>
      </c>
      <c r="N75" s="27">
        <f t="shared" si="5"/>
        <v>20.56</v>
      </c>
      <c r="O75" s="27">
        <f t="shared" si="6"/>
        <v>20.56</v>
      </c>
      <c r="P75" s="6">
        <f t="shared" si="7"/>
        <v>0</v>
      </c>
      <c r="Q75" s="31">
        <v>18.503999999999998</v>
      </c>
      <c r="R75" s="29">
        <v>18.643828715365235</v>
      </c>
      <c r="S75" s="7">
        <f t="shared" si="8"/>
        <v>18.502959149999999</v>
      </c>
      <c r="T75">
        <v>18.642779999999998</v>
      </c>
      <c r="U75" s="6">
        <f t="shared" si="9"/>
        <v>5.6253164240516185E-5</v>
      </c>
    </row>
    <row r="76" spans="1:21" ht="15.75" x14ac:dyDescent="0.25">
      <c r="A76" t="s">
        <v>21</v>
      </c>
      <c r="B76" t="s">
        <v>334</v>
      </c>
      <c r="C76" t="s">
        <v>333</v>
      </c>
      <c r="D76" t="s">
        <v>332</v>
      </c>
      <c r="E76" s="8" t="s">
        <v>307</v>
      </c>
      <c r="F76" s="10" t="s">
        <v>24</v>
      </c>
      <c r="G76" s="11" t="s">
        <v>72</v>
      </c>
      <c r="I76" s="11" t="s">
        <v>72</v>
      </c>
      <c r="J76" s="13" t="s">
        <v>167</v>
      </c>
      <c r="K76" s="19" t="s">
        <v>225</v>
      </c>
      <c r="L76" s="22">
        <v>29.6</v>
      </c>
      <c r="M76" s="26">
        <v>40.409999999999997</v>
      </c>
      <c r="N76" s="27">
        <f t="shared" si="5"/>
        <v>29.6</v>
      </c>
      <c r="O76" s="27">
        <f t="shared" si="6"/>
        <v>40.409999999999997</v>
      </c>
      <c r="P76" s="6">
        <f t="shared" si="7"/>
        <v>0.26750804256372174</v>
      </c>
      <c r="Q76" s="31">
        <v>26.64</v>
      </c>
      <c r="R76" s="30">
        <v>26.84130982367758</v>
      </c>
      <c r="S76" s="7">
        <f t="shared" si="8"/>
        <v>36.366954243750001</v>
      </c>
      <c r="T76">
        <v>36.6417675</v>
      </c>
      <c r="U76" s="6">
        <f t="shared" si="9"/>
        <v>-0.26746683757333534</v>
      </c>
    </row>
    <row r="77" spans="1:21" ht="15.75" x14ac:dyDescent="0.25">
      <c r="A77" t="s">
        <v>21</v>
      </c>
      <c r="B77" t="s">
        <v>334</v>
      </c>
      <c r="C77" t="s">
        <v>333</v>
      </c>
      <c r="D77" t="s">
        <v>332</v>
      </c>
      <c r="E77" s="8" t="s">
        <v>308</v>
      </c>
      <c r="F77" s="10" t="s">
        <v>25</v>
      </c>
      <c r="G77" s="11" t="s">
        <v>51</v>
      </c>
      <c r="I77" s="11" t="s">
        <v>51</v>
      </c>
      <c r="J77" s="11" t="s">
        <v>146</v>
      </c>
      <c r="K77" s="19" t="s">
        <v>225</v>
      </c>
      <c r="L77" s="23">
        <v>111.52</v>
      </c>
      <c r="M77" s="25">
        <v>155.97999999999999</v>
      </c>
      <c r="N77" s="27">
        <f t="shared" si="5"/>
        <v>111.52</v>
      </c>
      <c r="O77" s="27">
        <f t="shared" si="6"/>
        <v>155.97999999999999</v>
      </c>
      <c r="P77" s="6">
        <f t="shared" si="7"/>
        <v>0.28503654314655724</v>
      </c>
      <c r="Q77" s="31">
        <v>100.36799999999999</v>
      </c>
      <c r="R77" s="28">
        <v>101.1264483627204</v>
      </c>
      <c r="S77" s="7">
        <f t="shared" si="8"/>
        <v>140.3741035125</v>
      </c>
      <c r="T77">
        <v>141.434865</v>
      </c>
      <c r="U77" s="6">
        <f t="shared" si="9"/>
        <v>-0.28499632418979293</v>
      </c>
    </row>
    <row r="78" spans="1:21" ht="15.75" x14ac:dyDescent="0.25">
      <c r="A78" t="s">
        <v>21</v>
      </c>
      <c r="B78" t="s">
        <v>334</v>
      </c>
      <c r="C78" t="s">
        <v>333</v>
      </c>
      <c r="D78" t="s">
        <v>332</v>
      </c>
      <c r="E78" s="8" t="s">
        <v>309</v>
      </c>
      <c r="F78" s="10" t="s">
        <v>25</v>
      </c>
      <c r="G78" s="13" t="s">
        <v>43</v>
      </c>
      <c r="I78" s="13" t="s">
        <v>43</v>
      </c>
      <c r="J78" s="11" t="s">
        <v>138</v>
      </c>
      <c r="K78" s="19" t="s">
        <v>225</v>
      </c>
      <c r="L78" s="23">
        <v>108.88</v>
      </c>
      <c r="M78" s="25">
        <v>215.38</v>
      </c>
      <c r="N78" s="27">
        <f t="shared" si="5"/>
        <v>108.88</v>
      </c>
      <c r="O78" s="27">
        <f t="shared" si="6"/>
        <v>215.38</v>
      </c>
      <c r="P78" s="6">
        <f t="shared" si="7"/>
        <v>0.49447488160460584</v>
      </c>
      <c r="Q78" s="31">
        <v>97.99199999999999</v>
      </c>
      <c r="R78" s="28">
        <v>98.732493702770768</v>
      </c>
      <c r="S78" s="7">
        <f t="shared" si="8"/>
        <v>193.83109638750003</v>
      </c>
      <c r="T78">
        <v>195.295815</v>
      </c>
      <c r="U78" s="6">
        <f t="shared" si="9"/>
        <v>-0.49444644421709316</v>
      </c>
    </row>
    <row r="79" spans="1:21" ht="15.75" x14ac:dyDescent="0.25">
      <c r="A79" t="s">
        <v>21</v>
      </c>
      <c r="B79" t="s">
        <v>334</v>
      </c>
      <c r="C79" t="s">
        <v>333</v>
      </c>
      <c r="D79" t="s">
        <v>332</v>
      </c>
      <c r="E79" s="8" t="s">
        <v>310</v>
      </c>
      <c r="F79" s="10" t="s">
        <v>25</v>
      </c>
      <c r="G79" s="10" t="s">
        <v>119</v>
      </c>
      <c r="I79" s="10" t="s">
        <v>119</v>
      </c>
      <c r="J79" s="11" t="s">
        <v>217</v>
      </c>
      <c r="K79" s="19" t="s">
        <v>225</v>
      </c>
      <c r="L79" s="22">
        <v>94.38</v>
      </c>
      <c r="M79" s="26">
        <v>94.38</v>
      </c>
      <c r="N79" s="27">
        <f t="shared" si="5"/>
        <v>94.38</v>
      </c>
      <c r="O79" s="27">
        <f t="shared" si="6"/>
        <v>94.38</v>
      </c>
      <c r="P79" s="6">
        <f t="shared" si="7"/>
        <v>0</v>
      </c>
      <c r="Q79" s="31">
        <v>84.941999999999993</v>
      </c>
      <c r="R79" s="29">
        <v>85.583879093198988</v>
      </c>
      <c r="S79" s="7">
        <f t="shared" si="8"/>
        <v>84.937222012500001</v>
      </c>
      <c r="T79">
        <v>85.579065</v>
      </c>
      <c r="U79" s="6">
        <f t="shared" si="9"/>
        <v>5.625316424029414E-5</v>
      </c>
    </row>
    <row r="80" spans="1:21" ht="15.75" x14ac:dyDescent="0.25">
      <c r="A80" t="s">
        <v>21</v>
      </c>
      <c r="B80" t="s">
        <v>334</v>
      </c>
      <c r="C80" t="s">
        <v>333</v>
      </c>
      <c r="D80" t="s">
        <v>332</v>
      </c>
      <c r="E80" s="8" t="s">
        <v>311</v>
      </c>
      <c r="F80" s="10" t="s">
        <v>25</v>
      </c>
      <c r="G80" s="11" t="s">
        <v>61</v>
      </c>
      <c r="I80" s="11" t="s">
        <v>61</v>
      </c>
      <c r="J80" s="11" t="s">
        <v>156</v>
      </c>
      <c r="K80" s="19" t="s">
        <v>231</v>
      </c>
      <c r="L80" s="22">
        <v>93.78</v>
      </c>
      <c r="M80" s="26">
        <v>118.47</v>
      </c>
      <c r="N80" s="27">
        <f t="shared" si="5"/>
        <v>93.78</v>
      </c>
      <c r="O80" s="27">
        <f t="shared" si="6"/>
        <v>118.47</v>
      </c>
      <c r="P80" s="6">
        <f t="shared" si="7"/>
        <v>0.20840719169409974</v>
      </c>
      <c r="Q80" s="31">
        <v>84.402000000000001</v>
      </c>
      <c r="R80" s="29">
        <v>85.039798488664985</v>
      </c>
      <c r="S80" s="7">
        <f t="shared" si="8"/>
        <v>106.61700245624999</v>
      </c>
      <c r="T80">
        <v>107.42267249999999</v>
      </c>
      <c r="U80" s="6">
        <f t="shared" si="9"/>
        <v>-0.20836266209384247</v>
      </c>
    </row>
    <row r="81" spans="1:21" ht="15.75" x14ac:dyDescent="0.25">
      <c r="A81" t="s">
        <v>21</v>
      </c>
      <c r="B81" t="s">
        <v>334</v>
      </c>
      <c r="C81" t="s">
        <v>333</v>
      </c>
      <c r="D81" t="s">
        <v>332</v>
      </c>
      <c r="E81" s="8" t="s">
        <v>312</v>
      </c>
      <c r="F81" s="10" t="s">
        <v>25</v>
      </c>
      <c r="G81" s="11" t="s">
        <v>120</v>
      </c>
      <c r="I81" s="11" t="s">
        <v>120</v>
      </c>
      <c r="J81" s="13" t="s">
        <v>218</v>
      </c>
      <c r="K81" s="19" t="s">
        <v>231</v>
      </c>
      <c r="L81" s="22">
        <v>92.79</v>
      </c>
      <c r="M81" s="26">
        <v>92.79</v>
      </c>
      <c r="N81" s="27">
        <f t="shared" si="5"/>
        <v>92.79</v>
      </c>
      <c r="O81" s="27">
        <f t="shared" si="6"/>
        <v>92.79</v>
      </c>
      <c r="P81" s="6">
        <f t="shared" si="7"/>
        <v>0</v>
      </c>
      <c r="Q81" s="31">
        <v>83.51100000000001</v>
      </c>
      <c r="R81" s="29">
        <v>84.142065491183885</v>
      </c>
      <c r="S81" s="7">
        <f t="shared" si="8"/>
        <v>83.506302506250023</v>
      </c>
      <c r="T81">
        <v>84.137332500000014</v>
      </c>
      <c r="U81" s="6">
        <f t="shared" si="9"/>
        <v>5.625316424029414E-5</v>
      </c>
    </row>
    <row r="82" spans="1:21" ht="15.75" x14ac:dyDescent="0.25">
      <c r="A82" t="s">
        <v>21</v>
      </c>
      <c r="B82" t="s">
        <v>334</v>
      </c>
      <c r="C82" t="s">
        <v>333</v>
      </c>
      <c r="D82" t="s">
        <v>332</v>
      </c>
      <c r="E82" s="8" t="s">
        <v>313</v>
      </c>
      <c r="F82" s="10" t="s">
        <v>25</v>
      </c>
      <c r="G82" s="11" t="s">
        <v>121</v>
      </c>
      <c r="I82" s="11" t="s">
        <v>121</v>
      </c>
      <c r="J82" s="13" t="s">
        <v>219</v>
      </c>
      <c r="K82" s="19" t="s">
        <v>231</v>
      </c>
      <c r="L82" s="22">
        <v>80.2</v>
      </c>
      <c r="M82" s="26">
        <v>80.2</v>
      </c>
      <c r="N82" s="27">
        <f t="shared" si="5"/>
        <v>80.2</v>
      </c>
      <c r="O82" s="27">
        <f t="shared" si="6"/>
        <v>80.2</v>
      </c>
      <c r="P82" s="6">
        <f t="shared" si="7"/>
        <v>0</v>
      </c>
      <c r="Q82" s="31">
        <v>72.180000000000007</v>
      </c>
      <c r="R82" s="29">
        <v>72.725440806045341</v>
      </c>
      <c r="S82" s="7">
        <f t="shared" si="8"/>
        <v>72.175939875000012</v>
      </c>
      <c r="T82">
        <v>72.721350000000015</v>
      </c>
      <c r="U82" s="6">
        <f t="shared" si="9"/>
        <v>5.6253164240516185E-5</v>
      </c>
    </row>
    <row r="83" spans="1:21" ht="15.75" x14ac:dyDescent="0.25">
      <c r="A83" t="s">
        <v>21</v>
      </c>
      <c r="B83" t="s">
        <v>334</v>
      </c>
      <c r="C83" t="s">
        <v>333</v>
      </c>
      <c r="D83" t="s">
        <v>332</v>
      </c>
      <c r="E83" s="8" t="s">
        <v>314</v>
      </c>
      <c r="F83" s="10" t="s">
        <v>25</v>
      </c>
      <c r="G83" s="13" t="s">
        <v>40</v>
      </c>
      <c r="I83" s="13" t="s">
        <v>40</v>
      </c>
      <c r="J83" s="11" t="s">
        <v>135</v>
      </c>
      <c r="K83" s="19" t="s">
        <v>231</v>
      </c>
      <c r="L83" s="23">
        <v>76.400000000000006</v>
      </c>
      <c r="M83" s="25">
        <v>198</v>
      </c>
      <c r="N83" s="27">
        <f t="shared" si="5"/>
        <v>76.400000000000006</v>
      </c>
      <c r="O83" s="27">
        <f t="shared" si="6"/>
        <v>198</v>
      </c>
      <c r="P83" s="6">
        <f t="shared" si="7"/>
        <v>0.6141414141414141</v>
      </c>
      <c r="Q83" s="31">
        <v>68.760000000000005</v>
      </c>
      <c r="R83" s="28">
        <v>69.279596977329973</v>
      </c>
      <c r="S83" s="7">
        <f t="shared" si="8"/>
        <v>178.18997625</v>
      </c>
      <c r="T83">
        <v>179.53649999999999</v>
      </c>
      <c r="U83" s="6">
        <f t="shared" si="9"/>
        <v>-0.61411970837501029</v>
      </c>
    </row>
    <row r="84" spans="1:21" ht="15.75" x14ac:dyDescent="0.25">
      <c r="A84" t="s">
        <v>21</v>
      </c>
      <c r="B84" t="s">
        <v>334</v>
      </c>
      <c r="C84" t="s">
        <v>333</v>
      </c>
      <c r="D84" t="s">
        <v>332</v>
      </c>
      <c r="E84" s="8" t="s">
        <v>315</v>
      </c>
      <c r="F84" s="10" t="s">
        <v>25</v>
      </c>
      <c r="G84" s="13" t="s">
        <v>122</v>
      </c>
      <c r="I84" s="13" t="s">
        <v>122</v>
      </c>
      <c r="J84" s="13" t="s">
        <v>220</v>
      </c>
      <c r="K84" s="19" t="s">
        <v>225</v>
      </c>
      <c r="L84" s="22">
        <v>74.8</v>
      </c>
      <c r="M84" s="26">
        <v>74.8</v>
      </c>
      <c r="N84" s="27">
        <f t="shared" si="5"/>
        <v>74.8</v>
      </c>
      <c r="O84" s="27">
        <f t="shared" si="6"/>
        <v>74.8</v>
      </c>
      <c r="P84" s="6">
        <f t="shared" si="7"/>
        <v>0</v>
      </c>
      <c r="Q84" s="31">
        <v>67.319999999999993</v>
      </c>
      <c r="R84" s="29">
        <v>67.82871536523929</v>
      </c>
      <c r="S84" s="7">
        <f t="shared" si="8"/>
        <v>67.316213250000004</v>
      </c>
      <c r="T84">
        <v>67.8249</v>
      </c>
      <c r="U84" s="6">
        <f t="shared" si="9"/>
        <v>5.625316424029414E-5</v>
      </c>
    </row>
    <row r="85" spans="1:21" ht="15.75" x14ac:dyDescent="0.25">
      <c r="A85" t="s">
        <v>21</v>
      </c>
      <c r="B85" t="s">
        <v>334</v>
      </c>
      <c r="C85" t="s">
        <v>333</v>
      </c>
      <c r="D85" t="s">
        <v>332</v>
      </c>
      <c r="E85" s="8" t="s">
        <v>316</v>
      </c>
      <c r="F85" s="10" t="s">
        <v>25</v>
      </c>
      <c r="G85" s="13" t="s">
        <v>123</v>
      </c>
      <c r="I85" s="13" t="s">
        <v>123</v>
      </c>
      <c r="J85" s="11" t="s">
        <v>221</v>
      </c>
      <c r="K85" s="19" t="s">
        <v>225</v>
      </c>
      <c r="L85" s="22">
        <v>68.62</v>
      </c>
      <c r="M85" s="26">
        <v>68.62</v>
      </c>
      <c r="N85" s="27">
        <f t="shared" si="5"/>
        <v>68.62</v>
      </c>
      <c r="O85" s="27">
        <f t="shared" si="6"/>
        <v>68.62</v>
      </c>
      <c r="P85" s="6">
        <f t="shared" si="7"/>
        <v>0</v>
      </c>
      <c r="Q85" s="31">
        <v>61.758000000000003</v>
      </c>
      <c r="R85" s="29">
        <v>62.224685138539044</v>
      </c>
      <c r="S85" s="7">
        <f t="shared" si="8"/>
        <v>61.75452611250001</v>
      </c>
      <c r="T85">
        <v>62.221185000000006</v>
      </c>
      <c r="U85" s="6">
        <f t="shared" si="9"/>
        <v>5.625316424029414E-5</v>
      </c>
    </row>
    <row r="86" spans="1:21" ht="15.75" x14ac:dyDescent="0.25">
      <c r="A86" t="s">
        <v>21</v>
      </c>
      <c r="B86" t="s">
        <v>334</v>
      </c>
      <c r="C86" t="s">
        <v>333</v>
      </c>
      <c r="D86" t="s">
        <v>332</v>
      </c>
      <c r="E86" s="8" t="s">
        <v>317</v>
      </c>
      <c r="F86" s="10" t="s">
        <v>25</v>
      </c>
      <c r="G86" s="11" t="s">
        <v>69</v>
      </c>
      <c r="I86" s="11" t="s">
        <v>69</v>
      </c>
      <c r="J86" s="11" t="s">
        <v>164</v>
      </c>
      <c r="K86" s="19" t="s">
        <v>231</v>
      </c>
      <c r="L86" s="22">
        <v>67.599999999999994</v>
      </c>
      <c r="M86" s="26">
        <v>81.73</v>
      </c>
      <c r="N86" s="27">
        <f t="shared" si="5"/>
        <v>67.599999999999994</v>
      </c>
      <c r="O86" s="27">
        <f t="shared" si="6"/>
        <v>81.73</v>
      </c>
      <c r="P86" s="6">
        <f t="shared" si="7"/>
        <v>0.17288633304784057</v>
      </c>
      <c r="Q86" s="31">
        <v>60.839999999999996</v>
      </c>
      <c r="R86" s="29">
        <v>61.299748110831224</v>
      </c>
      <c r="S86" s="7">
        <f t="shared" si="8"/>
        <v>73.55286241875001</v>
      </c>
      <c r="T86">
        <v>74.108677500000013</v>
      </c>
      <c r="U86" s="6">
        <f t="shared" si="9"/>
        <v>-0.17283980528688803</v>
      </c>
    </row>
    <row r="87" spans="1:21" ht="15.75" x14ac:dyDescent="0.25">
      <c r="A87" t="s">
        <v>21</v>
      </c>
      <c r="B87" t="s">
        <v>334</v>
      </c>
      <c r="C87" t="s">
        <v>333</v>
      </c>
      <c r="D87" t="s">
        <v>332</v>
      </c>
      <c r="E87" s="8" t="s">
        <v>318</v>
      </c>
      <c r="F87" s="10" t="s">
        <v>25</v>
      </c>
      <c r="G87" s="13" t="s">
        <v>85</v>
      </c>
      <c r="I87" s="13" t="s">
        <v>85</v>
      </c>
      <c r="J87" s="11" t="s">
        <v>179</v>
      </c>
      <c r="K87" s="19" t="s">
        <v>225</v>
      </c>
      <c r="L87" s="22">
        <v>50.16</v>
      </c>
      <c r="M87" s="26">
        <v>52.47</v>
      </c>
      <c r="N87" s="27">
        <f t="shared" si="5"/>
        <v>50.16</v>
      </c>
      <c r="O87" s="27">
        <f t="shared" si="6"/>
        <v>52.47</v>
      </c>
      <c r="P87" s="6">
        <f t="shared" si="7"/>
        <v>4.4025157232704448E-2</v>
      </c>
      <c r="Q87" s="31">
        <v>45.143999999999998</v>
      </c>
      <c r="R87" s="30">
        <v>45.485138539042815</v>
      </c>
      <c r="S87" s="7">
        <f t="shared" si="8"/>
        <v>47.220343706250006</v>
      </c>
      <c r="T87">
        <v>47.577172500000003</v>
      </c>
      <c r="U87" s="6">
        <f t="shared" si="9"/>
        <v>-4.3971380622864542E-2</v>
      </c>
    </row>
    <row r="88" spans="1:21" ht="15.75" x14ac:dyDescent="0.25">
      <c r="A88" t="s">
        <v>21</v>
      </c>
      <c r="B88" t="s">
        <v>334</v>
      </c>
      <c r="C88" t="s">
        <v>333</v>
      </c>
      <c r="D88" t="s">
        <v>332</v>
      </c>
      <c r="E88" s="8" t="s">
        <v>319</v>
      </c>
      <c r="F88" s="10" t="s">
        <v>25</v>
      </c>
      <c r="G88" s="13" t="s">
        <v>68</v>
      </c>
      <c r="I88" s="13" t="s">
        <v>68</v>
      </c>
      <c r="J88" s="11" t="s">
        <v>163</v>
      </c>
      <c r="K88" s="19" t="s">
        <v>231</v>
      </c>
      <c r="L88" s="22">
        <v>45</v>
      </c>
      <c r="M88" s="26">
        <v>60.92</v>
      </c>
      <c r="N88" s="27">
        <f t="shared" si="5"/>
        <v>45</v>
      </c>
      <c r="O88" s="27">
        <f t="shared" si="6"/>
        <v>60.92</v>
      </c>
      <c r="P88" s="6">
        <f t="shared" si="7"/>
        <v>0.26132632961260671</v>
      </c>
      <c r="Q88" s="31">
        <v>40.5</v>
      </c>
      <c r="R88" s="29">
        <v>40.806045340050375</v>
      </c>
      <c r="S88" s="7">
        <f t="shared" si="8"/>
        <v>54.824915925000006</v>
      </c>
      <c r="T88">
        <v>55.239210000000007</v>
      </c>
      <c r="U88" s="6">
        <f t="shared" si="9"/>
        <v>-0.26128477688130636</v>
      </c>
    </row>
    <row r="89" spans="1:21" ht="15.75" x14ac:dyDescent="0.25">
      <c r="A89" t="s">
        <v>21</v>
      </c>
      <c r="B89" t="s">
        <v>334</v>
      </c>
      <c r="C89" t="s">
        <v>333</v>
      </c>
      <c r="D89" t="s">
        <v>332</v>
      </c>
      <c r="E89" s="8" t="s">
        <v>320</v>
      </c>
      <c r="F89" s="10" t="s">
        <v>25</v>
      </c>
      <c r="G89" s="13" t="s">
        <v>124</v>
      </c>
      <c r="I89" s="13" t="s">
        <v>124</v>
      </c>
      <c r="J89" s="11" t="s">
        <v>222</v>
      </c>
      <c r="K89" s="19" t="s">
        <v>225</v>
      </c>
      <c r="L89" s="22">
        <v>44.08</v>
      </c>
      <c r="M89" s="26">
        <v>44.08</v>
      </c>
      <c r="N89" s="27">
        <f t="shared" si="5"/>
        <v>44.08</v>
      </c>
      <c r="O89" s="27">
        <f t="shared" si="6"/>
        <v>44.08</v>
      </c>
      <c r="P89" s="6">
        <f t="shared" si="7"/>
        <v>0</v>
      </c>
      <c r="Q89" s="31">
        <v>39.671999999999997</v>
      </c>
      <c r="R89" s="29">
        <v>39.971788413098231</v>
      </c>
      <c r="S89" s="7">
        <f t="shared" si="8"/>
        <v>39.669768450000007</v>
      </c>
      <c r="T89">
        <v>39.969540000000002</v>
      </c>
      <c r="U89" s="6">
        <f t="shared" si="9"/>
        <v>5.625316424029414E-5</v>
      </c>
    </row>
    <row r="90" spans="1:21" ht="15.75" x14ac:dyDescent="0.25">
      <c r="A90" t="s">
        <v>21</v>
      </c>
      <c r="B90" t="s">
        <v>334</v>
      </c>
      <c r="C90" t="s">
        <v>333</v>
      </c>
      <c r="D90" t="s">
        <v>332</v>
      </c>
      <c r="E90" s="8" t="s">
        <v>321</v>
      </c>
      <c r="F90" s="10" t="s">
        <v>25</v>
      </c>
      <c r="G90" s="13" t="s">
        <v>80</v>
      </c>
      <c r="I90" s="13" t="s">
        <v>80</v>
      </c>
      <c r="J90" s="11" t="s">
        <v>174</v>
      </c>
      <c r="K90" s="19" t="s">
        <v>225</v>
      </c>
      <c r="L90" s="22">
        <v>35.42</v>
      </c>
      <c r="M90" s="26">
        <v>39.31</v>
      </c>
      <c r="N90" s="27">
        <f t="shared" si="5"/>
        <v>35.42</v>
      </c>
      <c r="O90" s="27">
        <f t="shared" si="6"/>
        <v>39.31</v>
      </c>
      <c r="P90" s="6">
        <f t="shared" si="7"/>
        <v>9.8957008394810489E-2</v>
      </c>
      <c r="Q90" s="31">
        <v>31.878</v>
      </c>
      <c r="R90" s="30">
        <v>32.118891687657431</v>
      </c>
      <c r="S90" s="7">
        <f t="shared" si="8"/>
        <v>35.377009931250008</v>
      </c>
      <c r="T90">
        <v>35.644342500000008</v>
      </c>
      <c r="U90" s="6">
        <f t="shared" si="9"/>
        <v>-9.8906321875416148E-2</v>
      </c>
    </row>
    <row r="91" spans="1:21" ht="15.75" x14ac:dyDescent="0.25">
      <c r="A91" t="s">
        <v>21</v>
      </c>
      <c r="B91" t="s">
        <v>334</v>
      </c>
      <c r="C91" t="s">
        <v>333</v>
      </c>
      <c r="D91" t="s">
        <v>332</v>
      </c>
      <c r="E91" s="8" t="s">
        <v>322</v>
      </c>
      <c r="F91" s="10" t="s">
        <v>25</v>
      </c>
      <c r="G91" s="13" t="s">
        <v>94</v>
      </c>
      <c r="I91" s="13" t="s">
        <v>94</v>
      </c>
      <c r="J91" s="11" t="s">
        <v>190</v>
      </c>
      <c r="K91" s="19" t="s">
        <v>225</v>
      </c>
      <c r="L91" s="22">
        <v>28.4</v>
      </c>
      <c r="M91" s="26">
        <v>28.49</v>
      </c>
      <c r="N91" s="27">
        <f t="shared" si="5"/>
        <v>28.4</v>
      </c>
      <c r="O91" s="27">
        <f t="shared" si="6"/>
        <v>28.49</v>
      </c>
      <c r="P91" s="6">
        <f t="shared" si="7"/>
        <v>3.159003159003154E-3</v>
      </c>
      <c r="Q91" s="31">
        <v>25.56</v>
      </c>
      <c r="R91" s="30">
        <v>25.753148614609568</v>
      </c>
      <c r="S91" s="7">
        <f t="shared" si="8"/>
        <v>25.63955769375</v>
      </c>
      <c r="T91">
        <v>25.8333075</v>
      </c>
      <c r="U91" s="6">
        <f t="shared" si="9"/>
        <v>-3.1029276986862531E-3</v>
      </c>
    </row>
    <row r="92" spans="1:21" ht="15.75" x14ac:dyDescent="0.25">
      <c r="A92" t="s">
        <v>21</v>
      </c>
      <c r="B92" t="s">
        <v>334</v>
      </c>
      <c r="C92" t="s">
        <v>333</v>
      </c>
      <c r="D92" t="s">
        <v>332</v>
      </c>
      <c r="E92" s="8" t="s">
        <v>323</v>
      </c>
      <c r="F92" s="10" t="s">
        <v>25</v>
      </c>
      <c r="G92" s="10" t="s">
        <v>73</v>
      </c>
      <c r="I92" s="10" t="s">
        <v>73</v>
      </c>
      <c r="J92" s="11" t="s">
        <v>168</v>
      </c>
      <c r="K92" s="19" t="s">
        <v>232</v>
      </c>
      <c r="L92" s="22">
        <v>21.57</v>
      </c>
      <c r="M92" s="26">
        <v>31.64</v>
      </c>
      <c r="N92" s="27">
        <f t="shared" si="5"/>
        <v>21.57</v>
      </c>
      <c r="O92" s="27">
        <f t="shared" si="6"/>
        <v>31.64</v>
      </c>
      <c r="P92" s="6">
        <f t="shared" si="7"/>
        <v>0.31826801517067005</v>
      </c>
      <c r="Q92" s="31">
        <v>19.413</v>
      </c>
      <c r="R92" s="30">
        <v>19.559697732997481</v>
      </c>
      <c r="S92" s="7">
        <f t="shared" si="8"/>
        <v>28.474825000000003</v>
      </c>
      <c r="T92">
        <v>28.69</v>
      </c>
      <c r="U92" s="6">
        <f t="shared" si="9"/>
        <v>-0.31823988382720536</v>
      </c>
    </row>
    <row r="93" spans="1:21" ht="15.75" x14ac:dyDescent="0.25">
      <c r="A93" t="s">
        <v>21</v>
      </c>
      <c r="B93" t="s">
        <v>334</v>
      </c>
      <c r="C93" t="s">
        <v>333</v>
      </c>
      <c r="D93" t="s">
        <v>332</v>
      </c>
      <c r="E93" s="8" t="s">
        <v>324</v>
      </c>
      <c r="F93" s="10" t="s">
        <v>25</v>
      </c>
      <c r="G93" s="13" t="s">
        <v>74</v>
      </c>
      <c r="I93" s="13" t="s">
        <v>74</v>
      </c>
      <c r="J93" s="11" t="s">
        <v>169</v>
      </c>
      <c r="K93" s="19" t="s">
        <v>231</v>
      </c>
      <c r="L93" s="22">
        <v>18.68</v>
      </c>
      <c r="M93" s="26">
        <v>28.03</v>
      </c>
      <c r="N93" s="27">
        <f t="shared" si="5"/>
        <v>18.68</v>
      </c>
      <c r="O93" s="27">
        <f t="shared" si="6"/>
        <v>28.03</v>
      </c>
      <c r="P93" s="6">
        <f t="shared" si="7"/>
        <v>0.33357117374241885</v>
      </c>
      <c r="Q93" s="31">
        <v>16.812000000000001</v>
      </c>
      <c r="R93" s="29">
        <v>16.93904282115869</v>
      </c>
      <c r="S93" s="7">
        <f t="shared" si="8"/>
        <v>25.225580981250001</v>
      </c>
      <c r="T93">
        <v>25.416202500000001</v>
      </c>
      <c r="U93" s="6">
        <f t="shared" si="9"/>
        <v>-0.33353368501220071</v>
      </c>
    </row>
    <row r="94" spans="1:21" ht="15.75" x14ac:dyDescent="0.25">
      <c r="A94" t="s">
        <v>21</v>
      </c>
      <c r="B94" t="s">
        <v>334</v>
      </c>
      <c r="C94" t="s">
        <v>333</v>
      </c>
      <c r="D94" t="s">
        <v>332</v>
      </c>
      <c r="E94" s="8" t="s">
        <v>325</v>
      </c>
      <c r="F94" s="10" t="s">
        <v>25</v>
      </c>
      <c r="G94" s="18" t="s">
        <v>76</v>
      </c>
      <c r="I94" s="18" t="s">
        <v>76</v>
      </c>
      <c r="J94" s="11" t="s">
        <v>171</v>
      </c>
      <c r="K94" s="19" t="s">
        <v>231</v>
      </c>
      <c r="L94" s="22">
        <v>18.68</v>
      </c>
      <c r="M94" s="26">
        <v>26.51</v>
      </c>
      <c r="N94" s="27">
        <f t="shared" si="5"/>
        <v>18.68</v>
      </c>
      <c r="O94" s="27">
        <f t="shared" si="6"/>
        <v>26.51</v>
      </c>
      <c r="P94" s="6">
        <f t="shared" si="7"/>
        <v>0.29536024141833278</v>
      </c>
      <c r="Q94" s="31">
        <v>16.812000000000001</v>
      </c>
      <c r="R94" s="29">
        <v>16.93904282115869</v>
      </c>
      <c r="S94" s="7">
        <f t="shared" si="8"/>
        <v>23.857657931250003</v>
      </c>
      <c r="T94">
        <v>24.037942500000003</v>
      </c>
      <c r="U94" s="6">
        <f t="shared" si="9"/>
        <v>-0.29532060320226283</v>
      </c>
    </row>
    <row r="95" spans="1:21" ht="15.75" x14ac:dyDescent="0.25">
      <c r="A95" t="s">
        <v>21</v>
      </c>
      <c r="B95" t="s">
        <v>334</v>
      </c>
      <c r="C95" t="s">
        <v>333</v>
      </c>
      <c r="D95" t="s">
        <v>332</v>
      </c>
      <c r="E95" s="8" t="s">
        <v>326</v>
      </c>
      <c r="F95" s="10" t="s">
        <v>25</v>
      </c>
      <c r="G95" s="11" t="s">
        <v>125</v>
      </c>
      <c r="I95" s="11" t="s">
        <v>125</v>
      </c>
      <c r="J95" s="13" t="s">
        <v>223</v>
      </c>
      <c r="K95" s="19" t="s">
        <v>231</v>
      </c>
      <c r="L95" s="22">
        <v>15.54</v>
      </c>
      <c r="M95" s="26">
        <v>15.54</v>
      </c>
      <c r="N95" s="27">
        <f t="shared" si="5"/>
        <v>15.54</v>
      </c>
      <c r="O95" s="27">
        <f t="shared" si="6"/>
        <v>15.54</v>
      </c>
      <c r="P95" s="6">
        <f t="shared" si="7"/>
        <v>0</v>
      </c>
      <c r="Q95" s="31">
        <v>13.985999999999999</v>
      </c>
      <c r="R95" s="29">
        <v>14.091687657430729</v>
      </c>
      <c r="S95" s="7">
        <f t="shared" si="8"/>
        <v>13.985213287500001</v>
      </c>
      <c r="T95">
        <v>14.090895</v>
      </c>
      <c r="U95" s="6">
        <f t="shared" si="9"/>
        <v>5.625316424029414E-5</v>
      </c>
    </row>
    <row r="96" spans="1:21" ht="15.75" x14ac:dyDescent="0.25">
      <c r="A96" t="s">
        <v>21</v>
      </c>
      <c r="B96" t="s">
        <v>334</v>
      </c>
      <c r="C96" t="s">
        <v>333</v>
      </c>
      <c r="D96" t="s">
        <v>332</v>
      </c>
      <c r="E96" s="8" t="s">
        <v>327</v>
      </c>
      <c r="F96" s="10" t="s">
        <v>25</v>
      </c>
      <c r="G96" s="13" t="s">
        <v>91</v>
      </c>
      <c r="I96" s="13" t="s">
        <v>91</v>
      </c>
      <c r="J96" s="11" t="s">
        <v>186</v>
      </c>
      <c r="K96" s="19" t="s">
        <v>233</v>
      </c>
      <c r="L96" s="22">
        <v>4.5</v>
      </c>
      <c r="M96" s="26">
        <v>5.0599999999999996</v>
      </c>
      <c r="N96" s="27">
        <f t="shared" si="5"/>
        <v>4.5</v>
      </c>
      <c r="O96" s="27">
        <f t="shared" si="6"/>
        <v>5.0599999999999996</v>
      </c>
      <c r="P96" s="6">
        <f t="shared" si="7"/>
        <v>0.11067193675889321</v>
      </c>
      <c r="Q96" s="31">
        <v>4.05</v>
      </c>
      <c r="R96" s="30">
        <v>4.0806045340050376</v>
      </c>
      <c r="S96" s="7">
        <f t="shared" si="8"/>
        <v>4.5537438374999999</v>
      </c>
      <c r="T96">
        <v>4.5881549999999995</v>
      </c>
      <c r="U96" s="6">
        <f t="shared" si="9"/>
        <v>-0.11062190924128812</v>
      </c>
    </row>
    <row r="97" spans="1:21" ht="15.75" x14ac:dyDescent="0.25">
      <c r="A97" t="s">
        <v>21</v>
      </c>
      <c r="B97" t="s">
        <v>334</v>
      </c>
      <c r="C97" t="s">
        <v>333</v>
      </c>
      <c r="D97" t="s">
        <v>332</v>
      </c>
      <c r="E97" s="8" t="s">
        <v>328</v>
      </c>
      <c r="F97" s="10" t="s">
        <v>25</v>
      </c>
      <c r="G97" s="13" t="s">
        <v>93</v>
      </c>
      <c r="I97" s="13" t="s">
        <v>93</v>
      </c>
      <c r="J97" s="11" t="s">
        <v>189</v>
      </c>
      <c r="K97" s="19" t="s">
        <v>233</v>
      </c>
      <c r="L97" s="22">
        <v>3.25</v>
      </c>
      <c r="M97" s="26">
        <v>3.37</v>
      </c>
      <c r="N97" s="27">
        <f t="shared" si="5"/>
        <v>3.25</v>
      </c>
      <c r="O97" s="27">
        <f t="shared" si="6"/>
        <v>3.37</v>
      </c>
      <c r="P97" s="6">
        <f t="shared" si="7"/>
        <v>3.5608308605341275E-2</v>
      </c>
      <c r="Q97" s="31">
        <v>2.9249999999999998</v>
      </c>
      <c r="R97" s="30">
        <v>2.9471032745591934</v>
      </c>
      <c r="S97" s="7">
        <f t="shared" si="8"/>
        <v>3.0328293937500006</v>
      </c>
      <c r="T97">
        <v>3.0557475000000003</v>
      </c>
      <c r="U97" s="6">
        <f t="shared" si="9"/>
        <v>-3.5554058521133358E-2</v>
      </c>
    </row>
    <row r="98" spans="1:21" ht="15.75" x14ac:dyDescent="0.25">
      <c r="A98" t="s">
        <v>21</v>
      </c>
      <c r="B98" t="s">
        <v>334</v>
      </c>
      <c r="C98" t="s">
        <v>333</v>
      </c>
      <c r="D98" t="s">
        <v>332</v>
      </c>
      <c r="E98" s="8" t="s">
        <v>329</v>
      </c>
      <c r="F98" s="10" t="s">
        <v>25</v>
      </c>
      <c r="G98" s="13" t="s">
        <v>126</v>
      </c>
      <c r="I98" s="13" t="s">
        <v>126</v>
      </c>
      <c r="J98" s="11" t="s">
        <v>224</v>
      </c>
      <c r="K98" s="19" t="s">
        <v>233</v>
      </c>
      <c r="L98" s="22">
        <v>2.54</v>
      </c>
      <c r="M98" s="26">
        <v>2.54</v>
      </c>
      <c r="N98" s="27">
        <f t="shared" si="5"/>
        <v>2.54</v>
      </c>
      <c r="O98" s="27">
        <f t="shared" si="6"/>
        <v>2.54</v>
      </c>
      <c r="P98" s="6">
        <f t="shared" si="7"/>
        <v>0</v>
      </c>
      <c r="Q98" s="31">
        <v>2.286</v>
      </c>
      <c r="R98" s="29">
        <v>2.3032745591939547</v>
      </c>
      <c r="S98" s="7">
        <f t="shared" si="8"/>
        <v>2.2858714125000001</v>
      </c>
      <c r="T98">
        <v>2.3031450000000002</v>
      </c>
      <c r="U98" s="6">
        <f t="shared" si="9"/>
        <v>5.6253164240516185E-5</v>
      </c>
    </row>
    <row r="99" spans="1:21" ht="15.75" x14ac:dyDescent="0.25">
      <c r="A99" t="s">
        <v>21</v>
      </c>
      <c r="B99" t="s">
        <v>334</v>
      </c>
      <c r="C99" t="s">
        <v>333</v>
      </c>
      <c r="D99" t="s">
        <v>332</v>
      </c>
      <c r="E99" s="8" t="s">
        <v>330</v>
      </c>
      <c r="F99" s="10" t="s">
        <v>25</v>
      </c>
      <c r="G99" s="13" t="s">
        <v>90</v>
      </c>
      <c r="I99" s="13" t="s">
        <v>90</v>
      </c>
      <c r="J99" s="16" t="s">
        <v>185</v>
      </c>
      <c r="K99" s="20" t="s">
        <v>233</v>
      </c>
      <c r="L99" s="22">
        <v>1.65</v>
      </c>
      <c r="M99" s="26">
        <v>2.42</v>
      </c>
      <c r="N99" s="27">
        <f t="shared" si="5"/>
        <v>1.65</v>
      </c>
      <c r="O99" s="27">
        <f t="shared" si="6"/>
        <v>2.42</v>
      </c>
      <c r="P99" s="6">
        <f t="shared" si="7"/>
        <v>0.31818181818181818</v>
      </c>
      <c r="Q99" s="31">
        <v>1.4849999999999999</v>
      </c>
      <c r="R99" s="30">
        <v>1.4962216624685136</v>
      </c>
      <c r="S99" s="7">
        <f t="shared" si="8"/>
        <v>2.1778774875000004</v>
      </c>
      <c r="T99">
        <v>2.1943350000000001</v>
      </c>
      <c r="U99" s="6">
        <f t="shared" si="9"/>
        <v>-0.31814346375165437</v>
      </c>
    </row>
    <row r="100" spans="1:21" ht="15.75" x14ac:dyDescent="0.25">
      <c r="A100" t="s">
        <v>21</v>
      </c>
      <c r="B100" t="s">
        <v>334</v>
      </c>
      <c r="C100" t="s">
        <v>333</v>
      </c>
      <c r="D100" t="s">
        <v>332</v>
      </c>
      <c r="E100" s="8" t="s">
        <v>331</v>
      </c>
      <c r="F100" s="10" t="s">
        <v>25</v>
      </c>
      <c r="G100" s="13" t="s">
        <v>92</v>
      </c>
      <c r="I100" s="13" t="s">
        <v>92</v>
      </c>
      <c r="J100" s="11" t="s">
        <v>188</v>
      </c>
      <c r="K100" s="19" t="s">
        <v>233</v>
      </c>
      <c r="L100" s="22">
        <v>1.1499999999999999</v>
      </c>
      <c r="M100" s="26">
        <v>1.63</v>
      </c>
      <c r="N100" s="27">
        <f t="shared" si="5"/>
        <v>1.1499999999999999</v>
      </c>
      <c r="O100" s="27">
        <f t="shared" si="6"/>
        <v>1.63</v>
      </c>
      <c r="P100" s="6">
        <f t="shared" si="7"/>
        <v>0.29447852760736198</v>
      </c>
      <c r="Q100" s="31">
        <v>1.0349999999999999</v>
      </c>
      <c r="R100" s="30">
        <v>1.0428211586901761</v>
      </c>
      <c r="S100" s="7">
        <f t="shared" si="8"/>
        <v>1.4788250000000001</v>
      </c>
      <c r="T100">
        <v>1.49</v>
      </c>
      <c r="U100" s="6">
        <f t="shared" si="9"/>
        <v>-0.30012002772471391</v>
      </c>
    </row>
  </sheetData>
  <dataConsolidate/>
  <dataValidations count="10">
    <dataValidation type="decimal" operator="greaterThan" allowBlank="1" showInputMessage="1" showErrorMessage="1" sqref="L2:O1048576 Q2:T1048576">
      <formula1>0</formula1>
    </dataValidation>
    <dataValidation type="decimal" allowBlank="1" showInputMessage="1" showErrorMessage="1" sqref="P2:P1048576 U2:U1048576">
      <formula1>0</formula1>
      <formula2>1</formula2>
    </dataValidation>
    <dataValidation type="textLength" allowBlank="1" showInputMessage="1" showErrorMessage="1" sqref="K2:K1048576">
      <formula1>2</formula1>
      <formula2>3</formula2>
    </dataValidation>
    <dataValidation type="textLength" allowBlank="1" showInputMessage="1" showErrorMessage="1" sqref="F2:F1048576 D2:D1048576">
      <formula1>1</formula1>
      <formula2>255</formula2>
    </dataValidation>
    <dataValidation type="textLength" allowBlank="1" showInputMessage="1" showErrorMessage="1" sqref="C2:C1048576">
      <formula1>1</formula1>
      <formula2>24</formula2>
    </dataValidation>
    <dataValidation type="textLength" allowBlank="1" showInputMessage="1" showErrorMessage="1" sqref="E2:E1048576 B2:B1048576">
      <formula1>1</formula1>
      <formula2>10</formula2>
    </dataValidation>
    <dataValidation type="textLength" allowBlank="1" showInputMessage="1" showErrorMessage="1" sqref="G2:G1048576">
      <formula1>1</formula1>
      <formula2>150</formula2>
    </dataValidation>
    <dataValidation type="textLength" allowBlank="1" showInputMessage="1" showErrorMessage="1" sqref="A2:A1048576">
      <formula1>1</formula1>
      <formula2>8</formula2>
    </dataValidation>
    <dataValidation type="textLength" allowBlank="1" showInputMessage="1" showErrorMessage="1" sqref="H2:H1048576">
      <formula1>0</formula1>
      <formula2>255</formula2>
    </dataValidation>
    <dataValidation type="textLength" allowBlank="1" showInputMessage="1" showErrorMessage="1" sqref="J2:J1048576">
      <formula1>1</formula1>
      <formula2>4000</formula2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</vt:lpstr>
    </vt:vector>
  </TitlesOfParts>
  <Company>General Services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JeffreyJWellen</dc:creator>
  <cp:lastModifiedBy>Jessica Purgert</cp:lastModifiedBy>
  <dcterms:created xsi:type="dcterms:W3CDTF">2016-10-19T17:40:14Z</dcterms:created>
  <dcterms:modified xsi:type="dcterms:W3CDTF">2017-06-19T19:51:03Z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d8ab6578-9696-4313-8541-0bd1bb48e6d8</vt:lpwstr>
  </property>
</Properties>
</file>